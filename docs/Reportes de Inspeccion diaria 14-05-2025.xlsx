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ena\Downloads\"/>
    </mc:Choice>
  </mc:AlternateContent>
  <xr:revisionPtr revIDLastSave="0" documentId="13_ncr:1_{D0058743-2385-43E4-85A7-4D66AC748964}" xr6:coauthVersionLast="47" xr6:coauthVersionMax="47" xr10:uidLastSave="{00000000-0000-0000-0000-000000000000}"/>
  <bookViews>
    <workbookView xWindow="-108" yWindow="-108" windowWidth="23256" windowHeight="12456" tabRatio="836" activeTab="1" xr2:uid="{7C4E6016-FC90-4C02-834B-5F19E801D9A5}"/>
  </bookViews>
  <sheets>
    <sheet name="Exportación Hefei" sheetId="1" r:id="rId1"/>
    <sheet name="Exportación Mosqueta" sheetId="8" r:id="rId2"/>
    <sheet name="Exportación Pirona" sheetId="9" r:id="rId3"/>
    <sheet name="Descarte" sheetId="2" r:id="rId4"/>
    <sheet name="Comparación Exportación" sheetId="4" r:id="rId5"/>
    <sheet name="Comparación Descarte" sheetId="5" r:id="rId6"/>
    <sheet name="Evaluación de recepción" sheetId="6" r:id="rId7"/>
    <sheet name="Embalajes" sheetId="3" r:id="rId8"/>
    <sheet name="Exportación Camposo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9" l="1"/>
  <c r="I44" i="9"/>
  <c r="H44" i="9"/>
  <c r="H31" i="9"/>
  <c r="G44" i="9"/>
  <c r="G31" i="9"/>
  <c r="G44" i="1"/>
  <c r="G31" i="1"/>
  <c r="D44" i="1"/>
  <c r="D31" i="1"/>
  <c r="F7" i="9"/>
  <c r="G7" i="8"/>
  <c r="E44" i="8"/>
  <c r="F44" i="8"/>
  <c r="G44" i="8"/>
  <c r="H44" i="8"/>
  <c r="D44" i="8"/>
  <c r="E31" i="8"/>
  <c r="F31" i="8"/>
  <c r="G31" i="8"/>
  <c r="H31" i="8"/>
  <c r="D31" i="8"/>
  <c r="H7" i="1"/>
  <c r="E7" i="10"/>
  <c r="D42" i="10"/>
  <c r="F44" i="9"/>
  <c r="F31" i="9"/>
  <c r="H44" i="1"/>
  <c r="H31" i="1"/>
  <c r="J44" i="9" l="1"/>
  <c r="E44" i="9"/>
  <c r="D44" i="9"/>
  <c r="J31" i="9"/>
  <c r="E31" i="9"/>
  <c r="D31" i="9"/>
  <c r="F44" i="1"/>
  <c r="F31" i="1"/>
  <c r="E44" i="1"/>
  <c r="E31" i="1"/>
  <c r="D9" i="6"/>
  <c r="E7" i="4"/>
  <c r="E6" i="5"/>
  <c r="E43" i="4"/>
  <c r="D43" i="4"/>
  <c r="E30" i="4"/>
  <c r="D30" i="4"/>
  <c r="E7" i="2" l="1"/>
  <c r="I44" i="1"/>
  <c r="I31" i="1"/>
</calcChain>
</file>

<file path=xl/sharedStrings.xml><?xml version="1.0" encoding="utf-8"?>
<sst xmlns="http://schemas.openxmlformats.org/spreadsheetml/2006/main" count="706" uniqueCount="109">
  <si>
    <t>PLANILLA DE INSPECCION PALTA PT</t>
  </si>
  <si>
    <t>PACKING PALTA</t>
  </si>
  <si>
    <t>FUNDO</t>
  </si>
  <si>
    <t>MOSQUETA</t>
  </si>
  <si>
    <t>PACKING</t>
  </si>
  <si>
    <t>MEDLOG</t>
  </si>
  <si>
    <t>FECHA</t>
  </si>
  <si>
    <t>VARIEDAD</t>
  </si>
  <si>
    <t>ETTINGER</t>
  </si>
  <si>
    <t>ZUTANO</t>
  </si>
  <si>
    <t>EMBALAJE</t>
  </si>
  <si>
    <t>C04U</t>
  </si>
  <si>
    <t>C04G</t>
  </si>
  <si>
    <t>ETIQUETA</t>
  </si>
  <si>
    <t>PLU</t>
  </si>
  <si>
    <t>NO</t>
  </si>
  <si>
    <t>CALIBRE</t>
  </si>
  <si>
    <t>CALIDAD DE EMBALAJE</t>
  </si>
  <si>
    <t>BUENO</t>
  </si>
  <si>
    <t>ROTULACION</t>
  </si>
  <si>
    <t>PALETIZAJE</t>
  </si>
  <si>
    <t>DEFECTOS DE CALIDAD</t>
  </si>
  <si>
    <t>LENTICELAS</t>
  </si>
  <si>
    <t>TRIPS</t>
  </si>
  <si>
    <t>DEFORMACION</t>
  </si>
  <si>
    <t>CICATTRIZ</t>
  </si>
  <si>
    <t>RUSSET</t>
  </si>
  <si>
    <t>PEDUNCULO LARGO</t>
  </si>
  <si>
    <t>SOMBREADO</t>
  </si>
  <si>
    <t>SIN PEDUNCULO</t>
  </si>
  <si>
    <t>GOLPE DE SOL</t>
  </si>
  <si>
    <t>OTROS DEFECTOS DE CALIDAD</t>
  </si>
  <si>
    <t>NOTA SUMA DEFECTOS</t>
  </si>
  <si>
    <t>DEFECTOS DE CONDICION</t>
  </si>
  <si>
    <t>DAÑO MECANICO</t>
  </si>
  <si>
    <t>GOLPE/MACHUCON</t>
  </si>
  <si>
    <t>SOBREMADURO/BLANDO</t>
  </si>
  <si>
    <t>HERIDA ABIERTA</t>
  </si>
  <si>
    <t>FUMAGINA</t>
  </si>
  <si>
    <t>DESHIDRATADO</t>
  </si>
  <si>
    <t>PUDRICION</t>
  </si>
  <si>
    <t>HONGO</t>
  </si>
  <si>
    <t>PEPA SUELTA</t>
  </si>
  <si>
    <t>OTROS DEFECTOS DE CONDICIÓN</t>
  </si>
  <si>
    <t>DEFECTOS DE CONDICIÓN</t>
  </si>
  <si>
    <t>EVALUACIONES DE FRUTA COMERCIAL</t>
  </si>
  <si>
    <t>MEDGLOG</t>
  </si>
  <si>
    <t>DEFECTOS</t>
  </si>
  <si>
    <t>FRUTA BUENA</t>
  </si>
  <si>
    <t>TRIPS/ESTRIAS</t>
  </si>
  <si>
    <t>DAÑO DE SOL</t>
  </si>
  <si>
    <t>GENERICA - 4.0 kg</t>
  </si>
  <si>
    <t>FOREVER FRESH</t>
  </si>
  <si>
    <t>CLIENTE</t>
  </si>
  <si>
    <t>UNIFRUTTI - 4.0 kg</t>
  </si>
  <si>
    <t>NOTA FINAL POR EMBALAJE</t>
  </si>
  <si>
    <t>AKHMED FRUIT</t>
  </si>
  <si>
    <t>SI</t>
  </si>
  <si>
    <t>ACEPTABLE</t>
  </si>
  <si>
    <t>N° MUESTRAS</t>
  </si>
  <si>
    <t>-</t>
  </si>
  <si>
    <t>BINS</t>
  </si>
  <si>
    <t>JABAS</t>
  </si>
  <si>
    <t>F&amp;G GIDA SPAR</t>
  </si>
  <si>
    <t>EVALUACION DE BINS EN RECEPCION</t>
  </si>
  <si>
    <t>MODULO</t>
  </si>
  <si>
    <t>TURNO</t>
  </si>
  <si>
    <t>N° DE FRUTOS</t>
  </si>
  <si>
    <t>61 FRUTOS</t>
  </si>
  <si>
    <t>56 FRUTOS</t>
  </si>
  <si>
    <t>PARAMETROS DE CALIDAD</t>
  </si>
  <si>
    <t>NOTA</t>
  </si>
  <si>
    <t>SUMATORIA DE DEFECTOS</t>
  </si>
  <si>
    <t>1 - 2.9%</t>
  </si>
  <si>
    <t>3 - 4.9%</t>
  </si>
  <si>
    <t>5 - 6.9%</t>
  </si>
  <si>
    <t xml:space="preserve">&gt;=7% </t>
  </si>
  <si>
    <t>PARAMETROS DE CONDICION</t>
  </si>
  <si>
    <t>1 - 2%</t>
  </si>
  <si>
    <t>2.1 - 4%</t>
  </si>
  <si>
    <t>&gt;= 4.1%</t>
  </si>
  <si>
    <t>NOTA CALIDAD</t>
  </si>
  <si>
    <t>NOTA CONDICION</t>
  </si>
  <si>
    <t>PARAMETROS</t>
  </si>
  <si>
    <t>RECHAZO</t>
  </si>
  <si>
    <t>NOTA FINAL</t>
  </si>
  <si>
    <t>HASS</t>
  </si>
  <si>
    <t>CATEGORIA</t>
  </si>
  <si>
    <t>CAT 1</t>
  </si>
  <si>
    <t>RAPEL</t>
  </si>
  <si>
    <t>HEFEI</t>
  </si>
  <si>
    <t>PLASTICO - 10.0 kg</t>
  </si>
  <si>
    <t>C5.6U</t>
  </si>
  <si>
    <t>UNIFRUTTI - 5.6 kg</t>
  </si>
  <si>
    <t>P10G</t>
  </si>
  <si>
    <t>PIRONA</t>
  </si>
  <si>
    <t>UNIFRUTTI JAPON</t>
  </si>
  <si>
    <t>EUROPA CAMPOSOL</t>
  </si>
  <si>
    <t>CAMPOSOL</t>
  </si>
  <si>
    <t>C11.34U</t>
  </si>
  <si>
    <t>UNIFRUTTI - 11.34 kg</t>
  </si>
  <si>
    <t>ARGENTINA</t>
  </si>
  <si>
    <t>JAPON</t>
  </si>
  <si>
    <t>PLASTICO - 10kg</t>
  </si>
  <si>
    <t>BELLA FRUTA</t>
  </si>
  <si>
    <t>HNOS FERNANDEZ</t>
  </si>
  <si>
    <t>COOP</t>
  </si>
  <si>
    <t>CMR</t>
  </si>
  <si>
    <t>FRUTITAL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</si>
</sst>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7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AF0"/>
        <bgColor indexed="64"/>
      </patternFill>
    </fill>
    <fill>
      <patternFill patternType="solid">
        <fgColor rgb="FFD3DBD3"/>
        <bgColor indexed="64"/>
      </patternFill>
    </fill>
    <fill>
      <patternFill patternType="solid">
        <fgColor rgb="FFCFD8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A3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C80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rgb="FFE0E6ED"/>
      </bottom>
      <diagonal/>
    </border>
    <border>
      <left/>
      <right style="thin">
        <color theme="0" tint="-0.249977111117893"/>
      </right>
      <top/>
      <bottom style="medium">
        <color rgb="FFE0E6ED"/>
      </bottom>
      <diagonal/>
    </border>
    <border>
      <left style="thin">
        <color theme="0" tint="-0.249977111117893"/>
      </left>
      <right/>
      <top/>
      <bottom style="medium">
        <color rgb="FFE0E6ED"/>
      </bottom>
      <diagonal/>
    </border>
    <border>
      <left style="thin">
        <color theme="0" tint="-0.249977111117893"/>
      </left>
      <right/>
      <top style="medium">
        <color rgb="FFE0E6ED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rgb="FFE0E6ED"/>
      </top>
      <bottom style="medium">
        <color rgb="FFE0E6ED"/>
      </bottom>
      <diagonal/>
    </border>
    <border>
      <left/>
      <right style="thin">
        <color theme="0" tint="-0.249977111117893"/>
      </right>
      <top style="medium">
        <color rgb="FFE0E6ED"/>
      </top>
      <bottom style="medium">
        <color rgb="FFE0E6ED"/>
      </bottom>
      <diagonal/>
    </border>
    <border>
      <left/>
      <right/>
      <top style="medium">
        <color rgb="FFE0E6ED"/>
      </top>
      <bottom style="medium">
        <color rgb="FFE0E6ED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medium">
        <color rgb="FFE0E6ED"/>
      </right>
      <top style="medium">
        <color rgb="FFE0E6ED"/>
      </top>
      <bottom style="medium">
        <color rgb="FFE0E6ED"/>
      </bottom>
      <diagonal/>
    </border>
    <border>
      <left/>
      <right/>
      <top style="thin">
        <color theme="0" tint="-0.249977111117893"/>
      </top>
      <bottom style="medium">
        <color rgb="FFE0E6ED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rgb="FFE0E6ED"/>
      </bottom>
      <diagonal/>
    </border>
    <border>
      <left/>
      <right/>
      <top style="medium">
        <color rgb="FFE0E6ED"/>
      </top>
      <bottom/>
      <diagonal/>
    </border>
    <border>
      <left/>
      <right style="thin">
        <color theme="0" tint="-0.249977111117893"/>
      </right>
      <top style="medium">
        <color rgb="FFE0E6ED"/>
      </top>
      <bottom/>
      <diagonal/>
    </border>
    <border>
      <left/>
      <right style="medium">
        <color rgb="FFE0E6ED"/>
      </right>
      <top/>
      <bottom style="medium">
        <color rgb="FFE0E6ED"/>
      </bottom>
      <diagonal/>
    </border>
    <border>
      <left/>
      <right style="medium">
        <color rgb="FFE0E6ED"/>
      </right>
      <top/>
      <bottom/>
      <diagonal/>
    </border>
    <border>
      <left/>
      <right style="medium">
        <color rgb="FFE0E6ED"/>
      </right>
      <top/>
      <bottom style="thin">
        <color theme="0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2" fillId="5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4" fillId="2" borderId="11" xfId="1" applyNumberFormat="1" applyFont="1" applyFill="1" applyBorder="1" applyAlignment="1">
      <alignment horizontal="center" vertical="center" wrapText="1"/>
    </xf>
    <xf numFmtId="164" fontId="4" fillId="2" borderId="12" xfId="1" applyNumberFormat="1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4" fillId="6" borderId="0" xfId="0" applyFont="1" applyFill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164" fontId="4" fillId="7" borderId="11" xfId="0" applyNumberFormat="1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vertical="center" wrapText="1"/>
    </xf>
    <xf numFmtId="164" fontId="2" fillId="6" borderId="10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vertical="center" wrapText="1"/>
    </xf>
    <xf numFmtId="0" fontId="2" fillId="5" borderId="23" xfId="0" applyFont="1" applyFill="1" applyBorder="1" applyAlignment="1">
      <alignment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64" fontId="2" fillId="2" borderId="19" xfId="1" applyNumberFormat="1" applyFont="1" applyFill="1" applyBorder="1" applyAlignment="1">
      <alignment vertical="center" wrapText="1"/>
    </xf>
    <xf numFmtId="164" fontId="2" fillId="2" borderId="20" xfId="1" applyNumberFormat="1" applyFont="1" applyFill="1" applyBorder="1" applyAlignment="1">
      <alignment horizontal="center" wrapText="1"/>
    </xf>
    <xf numFmtId="14" fontId="2" fillId="2" borderId="20" xfId="1" applyNumberFormat="1" applyFont="1" applyFill="1" applyBorder="1" applyAlignment="1">
      <alignment horizontal="center" wrapText="1"/>
    </xf>
    <xf numFmtId="164" fontId="4" fillId="10" borderId="10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6" fillId="11" borderId="24" xfId="0" applyFont="1" applyFill="1" applyBorder="1" applyAlignment="1">
      <alignment horizontal="center" vertical="center"/>
    </xf>
    <xf numFmtId="0" fontId="7" fillId="12" borderId="24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9" fontId="0" fillId="0" borderId="24" xfId="0" applyNumberFormat="1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15" borderId="24" xfId="0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 textRotation="90" wrapText="1"/>
    </xf>
    <xf numFmtId="0" fontId="2" fillId="4" borderId="13" xfId="0" applyFont="1" applyFill="1" applyBorder="1" applyAlignment="1">
      <alignment vertical="center" textRotation="90" wrapText="1"/>
    </xf>
    <xf numFmtId="0" fontId="2" fillId="5" borderId="2" xfId="0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64" fontId="2" fillId="6" borderId="10" xfId="1" applyNumberFormat="1" applyFont="1" applyFill="1" applyBorder="1" applyAlignment="1">
      <alignment horizontal="center" vertical="center" wrapText="1"/>
    </xf>
    <xf numFmtId="164" fontId="2" fillId="2" borderId="19" xfId="1" applyNumberFormat="1" applyFont="1" applyFill="1" applyBorder="1" applyAlignment="1">
      <alignment horizontal="center" vertical="center" wrapText="1"/>
    </xf>
    <xf numFmtId="164" fontId="2" fillId="2" borderId="20" xfId="1" applyNumberFormat="1" applyFont="1" applyFill="1" applyBorder="1" applyAlignment="1">
      <alignment horizontal="center" vertical="center" wrapText="1"/>
    </xf>
    <xf numFmtId="14" fontId="2" fillId="2" borderId="20" xfId="1" applyNumberFormat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64" fontId="2" fillId="2" borderId="21" xfId="1" applyNumberFormat="1" applyFont="1" applyFill="1" applyBorder="1" applyAlignment="1">
      <alignment horizontal="center" vertical="center" wrapText="1"/>
    </xf>
    <xf numFmtId="164" fontId="4" fillId="2" borderId="12" xfId="0" applyNumberFormat="1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164" fontId="4" fillId="2" borderId="31" xfId="1" applyNumberFormat="1" applyFont="1" applyFill="1" applyBorder="1" applyAlignment="1">
      <alignment horizontal="center" vertical="center" wrapText="1"/>
    </xf>
    <xf numFmtId="164" fontId="4" fillId="7" borderId="31" xfId="0" applyNumberFormat="1" applyFont="1" applyFill="1" applyBorder="1" applyAlignment="1">
      <alignment horizontal="center" vertical="center" wrapText="1"/>
    </xf>
    <xf numFmtId="0" fontId="4" fillId="6" borderId="32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164" fontId="4" fillId="2" borderId="26" xfId="1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textRotation="90" wrapText="1"/>
    </xf>
    <xf numFmtId="0" fontId="2" fillId="4" borderId="3" xfId="0" applyFont="1" applyFill="1" applyBorder="1" applyAlignment="1">
      <alignment horizontal="center" vertical="center" textRotation="90" wrapText="1"/>
    </xf>
    <xf numFmtId="0" fontId="2" fillId="4" borderId="13" xfId="0" applyFont="1" applyFill="1" applyBorder="1" applyAlignment="1">
      <alignment horizontal="center" vertical="center" textRotation="90" wrapText="1"/>
    </xf>
    <xf numFmtId="0" fontId="6" fillId="11" borderId="24" xfId="0" applyFont="1" applyFill="1" applyBorder="1" applyAlignment="1">
      <alignment horizontal="center" vertical="center"/>
    </xf>
    <xf numFmtId="164" fontId="2" fillId="2" borderId="2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164" fontId="2" fillId="2" borderId="20" xfId="1" applyNumberFormat="1" applyFont="1" applyFill="1" applyBorder="1" applyAlignment="1">
      <alignment horizontal="center" vertical="center" wrapText="1"/>
    </xf>
    <xf numFmtId="14" fontId="2" fillId="2" borderId="21" xfId="1" applyNumberFormat="1" applyFont="1" applyFill="1" applyBorder="1" applyAlignment="1">
      <alignment horizontal="center" vertical="center" wrapText="1"/>
    </xf>
    <xf numFmtId="14" fontId="2" fillId="2" borderId="20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64" fontId="2" fillId="2" borderId="25" xfId="1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164" fontId="2" fillId="2" borderId="10" xfId="1" applyNumberFormat="1" applyFont="1" applyFill="1" applyBorder="1" applyAlignment="1">
      <alignment horizontal="center" vertical="center" wrapText="1"/>
    </xf>
    <xf numFmtId="14" fontId="2" fillId="2" borderId="10" xfId="1" applyNumberFormat="1" applyFont="1" applyFill="1" applyBorder="1" applyAlignment="1">
      <alignment horizontal="center" vertical="center" wrapText="1"/>
    </xf>
    <xf numFmtId="164" fontId="2" fillId="2" borderId="19" xfId="1" applyNumberFormat="1" applyFont="1" applyFill="1" applyBorder="1" applyAlignment="1">
      <alignment horizontal="center" vertical="center" wrapText="1"/>
    </xf>
    <xf numFmtId="164" fontId="2" fillId="2" borderId="26" xfId="1" applyNumberFormat="1" applyFont="1" applyFill="1" applyBorder="1" applyAlignment="1">
      <alignment horizontal="center" vertical="center" wrapText="1"/>
    </xf>
    <xf numFmtId="14" fontId="2" fillId="2" borderId="26" xfId="1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64" fontId="4" fillId="2" borderId="21" xfId="1" applyNumberFormat="1" applyFont="1" applyFill="1" applyBorder="1" applyAlignment="1">
      <alignment horizontal="center" vertical="center" wrapText="1"/>
    </xf>
    <xf numFmtId="164" fontId="4" fillId="2" borderId="20" xfId="1" applyNumberFormat="1" applyFont="1" applyFill="1" applyBorder="1" applyAlignment="1">
      <alignment horizontal="center" vertical="center" wrapText="1"/>
    </xf>
    <xf numFmtId="164" fontId="4" fillId="2" borderId="11" xfId="1" applyNumberFormat="1" applyFont="1" applyFill="1" applyBorder="1" applyAlignment="1">
      <alignment horizontal="center" vertical="center" wrapText="1"/>
    </xf>
    <xf numFmtId="164" fontId="4" fillId="2" borderId="12" xfId="1" applyNumberFormat="1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164" fontId="4" fillId="2" borderId="21" xfId="0" applyNumberFormat="1" applyFont="1" applyFill="1" applyBorder="1" applyAlignment="1">
      <alignment horizontal="center" vertical="center" wrapText="1"/>
    </xf>
    <xf numFmtId="164" fontId="4" fillId="2" borderId="20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 wrapText="1"/>
    </xf>
    <xf numFmtId="164" fontId="4" fillId="2" borderId="12" xfId="0" applyNumberFormat="1" applyFont="1" applyFill="1" applyBorder="1" applyAlignment="1">
      <alignment horizontal="center" vertical="center" wrapText="1"/>
    </xf>
    <xf numFmtId="164" fontId="4" fillId="6" borderId="29" xfId="0" applyNumberFormat="1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4" xfId="0" applyFill="1" applyBorder="1"/>
    <xf numFmtId="164" fontId="4" fillId="7" borderId="12" xfId="0" applyNumberFormat="1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164" fontId="4" fillId="7" borderId="26" xfId="0" applyNumberFormat="1" applyFont="1" applyFill="1" applyBorder="1" applyAlignment="1">
      <alignment horizontal="center" vertical="center" wrapText="1"/>
    </xf>
    <xf numFmtId="0" fontId="2" fillId="8" borderId="33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A3A5"/>
      <color rgb="FFF4AF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624840</xdr:colOff>
      <xdr:row>2</xdr:row>
      <xdr:rowOff>167640</xdr:rowOff>
    </xdr:from>
    <xdr:to>
      <xdr:col>2</xdr:col>
      <xdr:colOff>495299</xdr:colOff>
      <xdr:row>6</xdr:row>
      <xdr:rowOff>82937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D10481-7BFA-4B0D-8AA4-52BAA2D5E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167640"/>
          <a:ext cx="662939" cy="6696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624840</xdr:colOff>
      <xdr:row>2</xdr:row>
      <xdr:rowOff>167640</xdr:rowOff>
    </xdr:from>
    <xdr:to>
      <xdr:col>2</xdr:col>
      <xdr:colOff>495299</xdr:colOff>
      <xdr:row>6</xdr:row>
      <xdr:rowOff>105797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958725-6860-4619-BB2D-3C2E80AF7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" y="541020"/>
          <a:ext cx="662939" cy="6696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624840</xdr:colOff>
      <xdr:row>2</xdr:row>
      <xdr:rowOff>167640</xdr:rowOff>
    </xdr:from>
    <xdr:to>
      <xdr:col>2</xdr:col>
      <xdr:colOff>495299</xdr:colOff>
      <xdr:row>6</xdr:row>
      <xdr:rowOff>82937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09B698-625C-4E02-9BD2-4B138A3B0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" y="541020"/>
          <a:ext cx="662939" cy="6696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137161</xdr:colOff>
      <xdr:row>4</xdr:row>
      <xdr:rowOff>396241</xdr:rowOff>
    </xdr:from>
    <xdr:to>
      <xdr:col>2</xdr:col>
      <xdr:colOff>640081</xdr:colOff>
      <xdr:row>7</xdr:row>
      <xdr:rowOff>142273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5C1BB1-690F-48B7-BEFC-5E489255E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1" y="396241"/>
          <a:ext cx="502920" cy="5080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624840</xdr:colOff>
      <xdr:row>2</xdr:row>
      <xdr:rowOff>167640</xdr:rowOff>
    </xdr:from>
    <xdr:to>
      <xdr:col>2</xdr:col>
      <xdr:colOff>495299</xdr:colOff>
      <xdr:row>6</xdr:row>
      <xdr:rowOff>105797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3CE26D-9138-460E-8D8B-4196520B4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" y="541020"/>
          <a:ext cx="662939" cy="6696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137161</xdr:colOff>
      <xdr:row>3</xdr:row>
      <xdr:rowOff>396241</xdr:rowOff>
    </xdr:from>
    <xdr:to>
      <xdr:col>2</xdr:col>
      <xdr:colOff>640081</xdr:colOff>
      <xdr:row>6</xdr:row>
      <xdr:rowOff>142273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8CAD06-DD1D-499A-A806-EE584D1B5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2121" y="914401"/>
          <a:ext cx="502920" cy="5080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137161</xdr:colOff>
      <xdr:row>3</xdr:row>
      <xdr:rowOff>396241</xdr:rowOff>
    </xdr:from>
    <xdr:to>
      <xdr:col>1</xdr:col>
      <xdr:colOff>640081</xdr:colOff>
      <xdr:row>6</xdr:row>
      <xdr:rowOff>142273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325D24-1FFD-4B73-BAD8-01DEABB20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2121" y="914401"/>
          <a:ext cx="502920" cy="508032"/>
        </a:xfrm>
        <a:prstGeom prst="rect">
          <a:avLst/>
        </a:prstGeom>
      </xdr:spPr>
    </xdr:pic>
    <xdr:clientData/>
  </xdr:twoCellAnchor>
  <xdr:twoCellAnchor editAs="oneCell">
    <xdr:from>
      <xdr:col>5</xdr:col>
      <xdr:colOff>335280</xdr:colOff>
      <xdr:row>6</xdr:row>
      <xdr:rowOff>144780</xdr:rowOff>
    </xdr:from>
    <xdr:to>
      <xdr:col>9</xdr:col>
      <xdr:colOff>565785</xdr:colOff>
      <xdr:row>24</xdr:row>
      <xdr:rowOff>22860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69978C9-C135-ED6C-A94B-E49C5FC0C6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840" b="20168"/>
        <a:stretch>
          <a:fillRect/>
        </a:stretch>
      </xdr:blipFill>
      <xdr:spPr>
        <a:xfrm>
          <a:off x="4297680" y="1242060"/>
          <a:ext cx="3400425" cy="17678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624840</xdr:colOff>
      <xdr:row>2</xdr:row>
      <xdr:rowOff>167640</xdr:rowOff>
    </xdr:from>
    <xdr:to>
      <xdr:col>2</xdr:col>
      <xdr:colOff>495299</xdr:colOff>
      <xdr:row>6</xdr:row>
      <xdr:rowOff>82937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078F18-9D6E-4B96-83B0-204673F42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" y="541020"/>
          <a:ext cx="662939" cy="669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7778D-6C6F-408E-9467-F1D8FBD4FE63}">
  <sheetPr>
    <pageSetUpPr fitToPage="1"/>
  </sheetPr>
  <dimension ref="B3:Q46"/>
  <sheetViews>
    <sheetView zoomScaleNormal="100" workbookViewId="0">
      <selection activeCell="S20" sqref="S20"/>
    </sheetView>
  </sheetViews>
  <sheetFormatPr baseColWidth="10" defaultRowHeight="14.4" x14ac:dyDescent="0.3"/>
  <cols>
    <col min="3" max="3" width="16" customWidth="1"/>
    <col min="4" max="4" width="11.33203125" customWidth="1"/>
    <col min="11" max="11" width="11.5546875" hidden="1" customWidth="1"/>
    <col min="12" max="12" width="22.77734375" hidden="1" customWidth="1"/>
    <col min="13" max="13" width="11.5546875" hidden="1" customWidth="1"/>
    <col min="14" max="14" width="13.33203125" hidden="1" customWidth="1"/>
    <col min="15" max="16" width="16.21875" hidden="1" customWidth="1"/>
    <col min="17" max="17" width="12.33203125" hidden="1" customWidth="1"/>
    <col min="18" max="18" width="11.5546875" customWidth="1"/>
  </cols>
  <sheetData>
    <row r="3" spans="2:17" ht="14.4" customHeight="1" x14ac:dyDescent="0.3">
      <c r="B3" s="87"/>
      <c r="C3" s="88"/>
      <c r="D3" s="99" t="s">
        <v>0</v>
      </c>
      <c r="E3" s="100"/>
      <c r="F3" s="100"/>
      <c r="G3" s="100"/>
      <c r="H3" s="100"/>
      <c r="I3" s="101"/>
    </row>
    <row r="4" spans="2:17" ht="15" thickBot="1" x14ac:dyDescent="0.35">
      <c r="B4" s="89"/>
      <c r="C4" s="90"/>
      <c r="D4" s="99" t="s">
        <v>1</v>
      </c>
      <c r="E4" s="100"/>
      <c r="F4" s="100"/>
      <c r="G4" s="100"/>
      <c r="H4" s="100"/>
      <c r="I4" s="101"/>
    </row>
    <row r="5" spans="2:17" ht="15" thickBot="1" x14ac:dyDescent="0.35">
      <c r="B5" s="89"/>
      <c r="C5" s="90"/>
      <c r="D5" s="51"/>
      <c r="E5" s="86" t="s">
        <v>2</v>
      </c>
      <c r="F5" s="86"/>
      <c r="G5" s="53"/>
      <c r="H5" s="86" t="s">
        <v>90</v>
      </c>
      <c r="I5" s="96"/>
    </row>
    <row r="6" spans="2:17" ht="15" thickBot="1" x14ac:dyDescent="0.35">
      <c r="B6" s="89"/>
      <c r="C6" s="90"/>
      <c r="D6" s="52"/>
      <c r="E6" s="86" t="s">
        <v>4</v>
      </c>
      <c r="F6" s="86"/>
      <c r="G6" s="53"/>
      <c r="H6" s="86" t="s">
        <v>89</v>
      </c>
      <c r="I6" s="96"/>
    </row>
    <row r="7" spans="2:17" ht="15" thickBot="1" x14ac:dyDescent="0.35">
      <c r="B7" s="91"/>
      <c r="C7" s="92"/>
      <c r="D7" s="52"/>
      <c r="E7" s="86" t="s">
        <v>6</v>
      </c>
      <c r="F7" s="86"/>
      <c r="G7" s="53"/>
      <c r="H7" s="97">
        <f ca="1">TODAY()</f>
        <v>46156</v>
      </c>
      <c r="I7" s="98"/>
    </row>
    <row r="8" spans="2:17" x14ac:dyDescent="0.3">
      <c r="B8" s="80"/>
      <c r="C8" s="81"/>
      <c r="D8" s="81"/>
      <c r="E8" s="81"/>
      <c r="F8" s="81"/>
      <c r="G8" s="81"/>
      <c r="H8" s="81"/>
      <c r="I8" s="81"/>
    </row>
    <row r="9" spans="2:17" x14ac:dyDescent="0.3">
      <c r="B9" s="41"/>
      <c r="C9" s="93"/>
      <c r="D9" s="94"/>
      <c r="E9" s="94"/>
      <c r="F9" s="94"/>
      <c r="G9" s="94"/>
      <c r="H9" s="94"/>
      <c r="I9" s="95"/>
    </row>
    <row r="10" spans="2:17" ht="15" thickBot="1" x14ac:dyDescent="0.35">
      <c r="B10" s="41"/>
      <c r="C10" s="2" t="s">
        <v>7</v>
      </c>
      <c r="D10" s="3" t="s">
        <v>86</v>
      </c>
      <c r="E10" s="3" t="s">
        <v>86</v>
      </c>
      <c r="F10" s="3" t="s">
        <v>86</v>
      </c>
      <c r="G10" s="3" t="s">
        <v>86</v>
      </c>
      <c r="H10" s="3" t="s">
        <v>86</v>
      </c>
      <c r="I10" s="4" t="s">
        <v>86</v>
      </c>
      <c r="K10" s="85" t="s">
        <v>70</v>
      </c>
      <c r="L10" s="85"/>
      <c r="N10" s="34" t="s">
        <v>81</v>
      </c>
      <c r="O10" s="34" t="s">
        <v>82</v>
      </c>
      <c r="P10" s="34" t="s">
        <v>85</v>
      </c>
      <c r="Q10" s="34" t="s">
        <v>83</v>
      </c>
    </row>
    <row r="11" spans="2:17" ht="15" thickBot="1" x14ac:dyDescent="0.35">
      <c r="B11" s="41"/>
      <c r="C11" s="2" t="s">
        <v>10</v>
      </c>
      <c r="D11" s="3" t="s">
        <v>12</v>
      </c>
      <c r="E11" s="3" t="s">
        <v>92</v>
      </c>
      <c r="F11" s="3" t="s">
        <v>94</v>
      </c>
      <c r="G11" s="3" t="s">
        <v>12</v>
      </c>
      <c r="H11" s="3" t="s">
        <v>11</v>
      </c>
      <c r="I11" s="9" t="s">
        <v>99</v>
      </c>
      <c r="K11" s="35" t="s">
        <v>71</v>
      </c>
      <c r="L11" s="35" t="s">
        <v>72</v>
      </c>
      <c r="N11" s="36">
        <v>2</v>
      </c>
      <c r="O11" s="36">
        <v>2</v>
      </c>
      <c r="P11" s="38">
        <v>2</v>
      </c>
      <c r="Q11" s="38" t="s">
        <v>18</v>
      </c>
    </row>
    <row r="12" spans="2:17" ht="19.8" thickBot="1" x14ac:dyDescent="0.35">
      <c r="B12" s="41"/>
      <c r="C12" s="2" t="s">
        <v>13</v>
      </c>
      <c r="D12" s="3" t="s">
        <v>51</v>
      </c>
      <c r="E12" s="3" t="s">
        <v>93</v>
      </c>
      <c r="F12" s="3" t="s">
        <v>91</v>
      </c>
      <c r="G12" s="3" t="s">
        <v>51</v>
      </c>
      <c r="H12" s="3" t="s">
        <v>54</v>
      </c>
      <c r="I12" s="9" t="s">
        <v>100</v>
      </c>
      <c r="K12" s="36">
        <v>1</v>
      </c>
      <c r="L12" s="36" t="s">
        <v>73</v>
      </c>
      <c r="N12" s="36">
        <v>3</v>
      </c>
      <c r="O12" s="36">
        <v>2</v>
      </c>
      <c r="P12" s="38">
        <v>2</v>
      </c>
      <c r="Q12" s="38" t="s">
        <v>18</v>
      </c>
    </row>
    <row r="13" spans="2:17" ht="15" thickBot="1" x14ac:dyDescent="0.35">
      <c r="B13" s="41"/>
      <c r="C13" s="2" t="s">
        <v>53</v>
      </c>
      <c r="D13" s="3" t="s">
        <v>104</v>
      </c>
      <c r="E13" s="3" t="s">
        <v>102</v>
      </c>
      <c r="F13" s="3" t="s">
        <v>105</v>
      </c>
      <c r="G13" s="3" t="s">
        <v>52</v>
      </c>
      <c r="H13" s="3" t="s">
        <v>107</v>
      </c>
      <c r="I13" s="9" t="s">
        <v>101</v>
      </c>
      <c r="K13" s="36">
        <v>2</v>
      </c>
      <c r="L13" s="36" t="s">
        <v>74</v>
      </c>
      <c r="N13" s="36">
        <v>2</v>
      </c>
      <c r="O13" s="36">
        <v>3</v>
      </c>
      <c r="P13" s="39">
        <v>3</v>
      </c>
      <c r="Q13" s="39" t="s">
        <v>58</v>
      </c>
    </row>
    <row r="14" spans="2:17" ht="15" thickBot="1" x14ac:dyDescent="0.35">
      <c r="B14" s="41"/>
      <c r="C14" s="2" t="s">
        <v>87</v>
      </c>
      <c r="D14" s="3" t="s">
        <v>88</v>
      </c>
      <c r="E14" s="3" t="s">
        <v>88</v>
      </c>
      <c r="F14" s="3" t="s">
        <v>88</v>
      </c>
      <c r="G14" s="3" t="s">
        <v>88</v>
      </c>
      <c r="H14" s="3" t="s">
        <v>88</v>
      </c>
      <c r="I14" s="9" t="s">
        <v>88</v>
      </c>
      <c r="K14" s="36">
        <v>3</v>
      </c>
      <c r="L14" s="36" t="s">
        <v>75</v>
      </c>
      <c r="N14" s="36">
        <v>4</v>
      </c>
      <c r="O14" s="36">
        <v>3</v>
      </c>
      <c r="P14" s="39">
        <v>3</v>
      </c>
      <c r="Q14" s="39" t="s">
        <v>58</v>
      </c>
    </row>
    <row r="15" spans="2:17" ht="15" thickBot="1" x14ac:dyDescent="0.35">
      <c r="B15" s="41"/>
      <c r="C15" s="2" t="s">
        <v>14</v>
      </c>
      <c r="D15" s="3" t="s">
        <v>15</v>
      </c>
      <c r="E15" s="3" t="s">
        <v>57</v>
      </c>
      <c r="F15" s="3" t="s">
        <v>15</v>
      </c>
      <c r="G15" s="3" t="s">
        <v>15</v>
      </c>
      <c r="H15" s="3" t="s">
        <v>15</v>
      </c>
      <c r="I15" s="4" t="s">
        <v>57</v>
      </c>
      <c r="K15" s="36">
        <v>4</v>
      </c>
      <c r="L15" s="36" t="s">
        <v>76</v>
      </c>
      <c r="N15" s="36">
        <v>4</v>
      </c>
      <c r="O15" s="36">
        <v>2</v>
      </c>
      <c r="P15" s="39">
        <v>3</v>
      </c>
      <c r="Q15" s="39" t="s">
        <v>58</v>
      </c>
    </row>
    <row r="16" spans="2:17" ht="15" thickBot="1" x14ac:dyDescent="0.35">
      <c r="B16" s="41"/>
      <c r="C16" s="2" t="s">
        <v>16</v>
      </c>
      <c r="D16" s="3">
        <v>16</v>
      </c>
      <c r="E16" s="3">
        <v>24</v>
      </c>
      <c r="F16" s="3">
        <v>18</v>
      </c>
      <c r="G16" s="3">
        <v>14</v>
      </c>
      <c r="H16" s="3">
        <v>18</v>
      </c>
      <c r="I16" s="4">
        <v>22</v>
      </c>
      <c r="N16" s="36">
        <v>3</v>
      </c>
      <c r="O16" s="36">
        <v>3</v>
      </c>
      <c r="P16" s="39">
        <v>3</v>
      </c>
      <c r="Q16" s="39" t="s">
        <v>58</v>
      </c>
    </row>
    <row r="17" spans="2:17" ht="15" thickBot="1" x14ac:dyDescent="0.35">
      <c r="B17" s="41"/>
      <c r="C17" s="2" t="s">
        <v>17</v>
      </c>
      <c r="D17" s="3" t="s">
        <v>58</v>
      </c>
      <c r="E17" s="3" t="s">
        <v>18</v>
      </c>
      <c r="F17" s="3" t="s">
        <v>58</v>
      </c>
      <c r="G17" s="3" t="s">
        <v>58</v>
      </c>
      <c r="H17" s="3" t="s">
        <v>58</v>
      </c>
      <c r="I17" s="55" t="s">
        <v>58</v>
      </c>
      <c r="K17" s="85" t="s">
        <v>77</v>
      </c>
      <c r="L17" s="85"/>
      <c r="N17" s="36">
        <v>2</v>
      </c>
      <c r="O17" s="36">
        <v>4</v>
      </c>
      <c r="P17" s="40">
        <v>4</v>
      </c>
      <c r="Q17" s="40" t="s">
        <v>84</v>
      </c>
    </row>
    <row r="18" spans="2:17" ht="15" thickBot="1" x14ac:dyDescent="0.35">
      <c r="B18" s="41"/>
      <c r="C18" s="2" t="s">
        <v>19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4" t="s">
        <v>18</v>
      </c>
      <c r="K18" s="35" t="s">
        <v>71</v>
      </c>
      <c r="L18" s="35" t="s">
        <v>72</v>
      </c>
      <c r="N18" s="36">
        <v>3</v>
      </c>
      <c r="O18" s="36">
        <v>4</v>
      </c>
      <c r="P18" s="40">
        <v>4</v>
      </c>
      <c r="Q18" s="40" t="s">
        <v>84</v>
      </c>
    </row>
    <row r="19" spans="2:17" ht="15" thickBot="1" x14ac:dyDescent="0.35">
      <c r="B19" s="42"/>
      <c r="C19" s="2" t="s">
        <v>20</v>
      </c>
      <c r="D19" s="3" t="s">
        <v>58</v>
      </c>
      <c r="E19" s="3" t="s">
        <v>58</v>
      </c>
      <c r="F19" s="3" t="s">
        <v>58</v>
      </c>
      <c r="G19" s="3" t="s">
        <v>58</v>
      </c>
      <c r="H19" s="3" t="s">
        <v>58</v>
      </c>
      <c r="I19" s="4" t="s">
        <v>58</v>
      </c>
      <c r="K19" s="36">
        <v>1</v>
      </c>
      <c r="L19" s="37">
        <v>0</v>
      </c>
      <c r="N19" s="36">
        <v>4</v>
      </c>
      <c r="O19" s="36">
        <v>4</v>
      </c>
      <c r="P19" s="40">
        <v>4</v>
      </c>
      <c r="Q19" s="40" t="s">
        <v>84</v>
      </c>
    </row>
    <row r="20" spans="2:17" x14ac:dyDescent="0.3">
      <c r="B20" s="82" t="s">
        <v>21</v>
      </c>
      <c r="C20" s="5"/>
      <c r="D20" s="5"/>
      <c r="E20" s="6"/>
      <c r="F20" s="6"/>
      <c r="G20" s="6"/>
      <c r="H20" s="6"/>
      <c r="I20" s="7"/>
      <c r="K20" s="36">
        <v>2</v>
      </c>
      <c r="L20" s="36" t="s">
        <v>78</v>
      </c>
    </row>
    <row r="21" spans="2:17" ht="15" thickBot="1" x14ac:dyDescent="0.35">
      <c r="B21" s="83"/>
      <c r="C21" s="2" t="s">
        <v>22</v>
      </c>
      <c r="D21" s="8">
        <v>2.1999999999999999E-2</v>
      </c>
      <c r="E21" s="8">
        <v>1.4E-2</v>
      </c>
      <c r="F21" s="8">
        <v>1.9E-2</v>
      </c>
      <c r="G21" s="8">
        <v>2.7E-2</v>
      </c>
      <c r="H21" s="8">
        <v>0.02</v>
      </c>
      <c r="I21" s="9">
        <v>1.2999999999999999E-2</v>
      </c>
      <c r="K21" s="36">
        <v>3</v>
      </c>
      <c r="L21" s="36" t="s">
        <v>79</v>
      </c>
    </row>
    <row r="22" spans="2:17" ht="15" thickBot="1" x14ac:dyDescent="0.35">
      <c r="B22" s="83"/>
      <c r="C22" s="2" t="s">
        <v>23</v>
      </c>
      <c r="D22" s="8">
        <v>8.9999999999999993E-3</v>
      </c>
      <c r="E22" s="8">
        <v>7.0000000000000001E-3</v>
      </c>
      <c r="F22" s="8">
        <v>8.0000000000000002E-3</v>
      </c>
      <c r="G22" s="8">
        <v>8.9999999999999993E-3</v>
      </c>
      <c r="H22" s="8">
        <v>4.0000000000000001E-3</v>
      </c>
      <c r="I22" s="9">
        <v>3.0000000000000001E-3</v>
      </c>
      <c r="K22" s="36">
        <v>4</v>
      </c>
      <c r="L22" s="36" t="s">
        <v>80</v>
      </c>
    </row>
    <row r="23" spans="2:17" ht="15" thickBot="1" x14ac:dyDescent="0.35">
      <c r="B23" s="83"/>
      <c r="C23" s="2" t="s">
        <v>24</v>
      </c>
      <c r="D23" s="8"/>
      <c r="E23" s="8"/>
      <c r="F23" s="8"/>
      <c r="G23" s="8"/>
      <c r="H23" s="8"/>
      <c r="I23" s="9"/>
    </row>
    <row r="24" spans="2:17" ht="15" thickBot="1" x14ac:dyDescent="0.35">
      <c r="B24" s="83"/>
      <c r="C24" s="19" t="s">
        <v>25</v>
      </c>
      <c r="D24" s="8">
        <v>3.0000000000000001E-3</v>
      </c>
      <c r="E24" s="8">
        <v>4.0000000000000001E-3</v>
      </c>
      <c r="F24" s="8">
        <v>3.0000000000000001E-3</v>
      </c>
      <c r="G24" s="8"/>
      <c r="H24" s="8"/>
      <c r="I24" s="9"/>
    </row>
    <row r="25" spans="2:17" ht="15" thickBot="1" x14ac:dyDescent="0.35">
      <c r="B25" s="83"/>
      <c r="C25" s="2" t="s">
        <v>26</v>
      </c>
      <c r="D25" s="8">
        <v>1.7999999999999999E-2</v>
      </c>
      <c r="E25" s="8">
        <v>1.0999999999999999E-2</v>
      </c>
      <c r="F25" s="8">
        <v>8.9999999999999993E-3</v>
      </c>
      <c r="G25" s="8">
        <v>2.7E-2</v>
      </c>
      <c r="H25" s="8">
        <v>1.2E-2</v>
      </c>
      <c r="I25" s="9">
        <v>8.9999999999999993E-3</v>
      </c>
    </row>
    <row r="26" spans="2:17" ht="15" thickBot="1" x14ac:dyDescent="0.35">
      <c r="B26" s="83"/>
      <c r="C26" s="2" t="s">
        <v>27</v>
      </c>
      <c r="D26" s="8"/>
      <c r="E26" s="8"/>
      <c r="F26" s="8"/>
      <c r="G26" s="8"/>
      <c r="H26" s="8"/>
      <c r="I26" s="9"/>
    </row>
    <row r="27" spans="2:17" ht="15" thickBot="1" x14ac:dyDescent="0.35">
      <c r="B27" s="83"/>
      <c r="C27" s="2" t="s">
        <v>28</v>
      </c>
      <c r="D27" s="8"/>
      <c r="E27" s="8"/>
      <c r="F27" s="8"/>
      <c r="G27" s="8"/>
      <c r="H27" s="8"/>
      <c r="I27" s="9"/>
    </row>
    <row r="28" spans="2:17" ht="15" thickBot="1" x14ac:dyDescent="0.35">
      <c r="B28" s="83"/>
      <c r="C28" s="2" t="s">
        <v>29</v>
      </c>
      <c r="D28" s="8">
        <v>6.0000000000000001E-3</v>
      </c>
      <c r="E28" s="8">
        <v>1.0999999999999999E-2</v>
      </c>
      <c r="F28" s="8">
        <v>1.0999999999999999E-2</v>
      </c>
      <c r="G28" s="8">
        <v>3.5999999999999997E-2</v>
      </c>
      <c r="H28" s="8">
        <v>1.2E-2</v>
      </c>
      <c r="I28" s="9">
        <v>8.0000000000000002E-3</v>
      </c>
    </row>
    <row r="29" spans="2:17" ht="15" thickBot="1" x14ac:dyDescent="0.35">
      <c r="B29" s="83"/>
      <c r="C29" s="2" t="s">
        <v>30</v>
      </c>
      <c r="D29" s="8"/>
      <c r="E29" s="8">
        <v>4.0000000000000001E-3</v>
      </c>
      <c r="F29" s="8">
        <v>3.0000000000000001E-3</v>
      </c>
      <c r="G29" s="8"/>
      <c r="H29" s="8"/>
      <c r="I29" s="9">
        <v>1E-3</v>
      </c>
    </row>
    <row r="30" spans="2:17" ht="19.8" thickBot="1" x14ac:dyDescent="0.35">
      <c r="B30" s="83"/>
      <c r="C30" s="2" t="s">
        <v>31</v>
      </c>
      <c r="D30" s="8">
        <v>6.0000000000000001E-3</v>
      </c>
      <c r="E30" s="8"/>
      <c r="F30" s="8"/>
      <c r="G30" s="8">
        <v>8.9999999999999993E-3</v>
      </c>
      <c r="H30" s="8"/>
      <c r="I30" s="9"/>
    </row>
    <row r="31" spans="2:17" ht="15" thickBot="1" x14ac:dyDescent="0.35">
      <c r="B31" s="84"/>
      <c r="C31" s="10" t="s">
        <v>21</v>
      </c>
      <c r="D31" s="20">
        <f t="shared" ref="D31:H31" si="0">SUM(D21:D30)</f>
        <v>6.4000000000000001E-2</v>
      </c>
      <c r="E31" s="20">
        <f t="shared" si="0"/>
        <v>5.1000000000000004E-2</v>
      </c>
      <c r="F31" s="20">
        <f t="shared" si="0"/>
        <v>5.3000000000000005E-2</v>
      </c>
      <c r="G31" s="20">
        <f>SUM(G21:G30)</f>
        <v>0.108</v>
      </c>
      <c r="H31" s="20">
        <f t="shared" si="0"/>
        <v>4.8000000000000001E-2</v>
      </c>
      <c r="I31" s="20">
        <f t="shared" ref="I31" si="1">SUM(I21:I30)</f>
        <v>3.4000000000000002E-2</v>
      </c>
    </row>
    <row r="32" spans="2:17" ht="15" thickBot="1" x14ac:dyDescent="0.35">
      <c r="B32" s="11"/>
      <c r="C32" s="12" t="s">
        <v>32</v>
      </c>
      <c r="D32" s="13">
        <v>3</v>
      </c>
      <c r="E32" s="13">
        <v>3</v>
      </c>
      <c r="F32" s="13">
        <v>3</v>
      </c>
      <c r="G32" s="13">
        <v>4</v>
      </c>
      <c r="H32" s="13">
        <v>2</v>
      </c>
      <c r="I32" s="13">
        <v>2</v>
      </c>
    </row>
    <row r="33" spans="2:9" x14ac:dyDescent="0.3">
      <c r="B33" s="82" t="s">
        <v>33</v>
      </c>
      <c r="C33" s="5"/>
      <c r="D33" s="5"/>
      <c r="E33" s="6"/>
      <c r="F33" s="6"/>
      <c r="G33" s="6"/>
      <c r="H33" s="6"/>
      <c r="I33" s="58"/>
    </row>
    <row r="34" spans="2:9" ht="15" thickBot="1" x14ac:dyDescent="0.35">
      <c r="B34" s="83"/>
      <c r="C34" s="2" t="s">
        <v>34</v>
      </c>
      <c r="D34" s="18">
        <v>1.7999999999999999E-2</v>
      </c>
      <c r="E34" s="18">
        <v>1.0999999999999999E-2</v>
      </c>
      <c r="F34" s="18">
        <v>1.0999999999999999E-2</v>
      </c>
      <c r="G34" s="18">
        <v>1.7999999999999999E-2</v>
      </c>
      <c r="H34" s="18">
        <v>1.2E-2</v>
      </c>
      <c r="I34" s="9">
        <v>1.2999999999999999E-2</v>
      </c>
    </row>
    <row r="35" spans="2:9" ht="15" thickBot="1" x14ac:dyDescent="0.35">
      <c r="B35" s="83"/>
      <c r="C35" s="2" t="s">
        <v>35</v>
      </c>
      <c r="D35" s="18"/>
      <c r="E35" s="18"/>
      <c r="F35" s="18">
        <v>3.0000000000000001E-3</v>
      </c>
      <c r="G35" s="18">
        <v>3.0000000000000001E-3</v>
      </c>
      <c r="H35" s="18"/>
      <c r="I35" s="9">
        <v>2E-3</v>
      </c>
    </row>
    <row r="36" spans="2:9" ht="15" thickBot="1" x14ac:dyDescent="0.35">
      <c r="B36" s="83"/>
      <c r="C36" s="2" t="s">
        <v>36</v>
      </c>
      <c r="D36" s="18"/>
      <c r="E36" s="18"/>
      <c r="F36" s="18"/>
      <c r="G36" s="18"/>
      <c r="H36" s="18"/>
      <c r="I36" s="9"/>
    </row>
    <row r="37" spans="2:9" ht="15" thickBot="1" x14ac:dyDescent="0.35">
      <c r="B37" s="83"/>
      <c r="C37" s="2" t="s">
        <v>37</v>
      </c>
      <c r="D37" s="18"/>
      <c r="E37" s="18"/>
      <c r="F37" s="18"/>
      <c r="G37" s="18"/>
      <c r="H37" s="18"/>
      <c r="I37" s="9"/>
    </row>
    <row r="38" spans="2:9" ht="15" thickBot="1" x14ac:dyDescent="0.35">
      <c r="B38" s="83"/>
      <c r="C38" s="2" t="s">
        <v>38</v>
      </c>
      <c r="D38" s="18"/>
      <c r="E38" s="18"/>
      <c r="F38" s="18"/>
      <c r="G38" s="18"/>
      <c r="H38" s="18"/>
      <c r="I38" s="9"/>
    </row>
    <row r="39" spans="2:9" ht="15" thickBot="1" x14ac:dyDescent="0.35">
      <c r="B39" s="83"/>
      <c r="C39" s="2" t="s">
        <v>39</v>
      </c>
      <c r="D39" s="18"/>
      <c r="E39" s="18"/>
      <c r="F39" s="18"/>
      <c r="G39" s="18"/>
      <c r="H39" s="18"/>
      <c r="I39" s="9"/>
    </row>
    <row r="40" spans="2:9" ht="15" thickBot="1" x14ac:dyDescent="0.35">
      <c r="B40" s="83"/>
      <c r="C40" s="2" t="s">
        <v>40</v>
      </c>
      <c r="D40" s="18"/>
      <c r="E40" s="18"/>
      <c r="F40" s="18"/>
      <c r="G40" s="18"/>
      <c r="H40" s="18"/>
      <c r="I40" s="9"/>
    </row>
    <row r="41" spans="2:9" ht="15" thickBot="1" x14ac:dyDescent="0.35">
      <c r="B41" s="83"/>
      <c r="C41" s="2" t="s">
        <v>41</v>
      </c>
      <c r="D41" s="18"/>
      <c r="E41" s="18"/>
      <c r="F41" s="18"/>
      <c r="G41" s="18"/>
      <c r="H41" s="18"/>
      <c r="I41" s="9"/>
    </row>
    <row r="42" spans="2:9" ht="15" thickBot="1" x14ac:dyDescent="0.35">
      <c r="B42" s="83"/>
      <c r="C42" s="2" t="s">
        <v>42</v>
      </c>
      <c r="D42" s="18"/>
      <c r="E42" s="18"/>
      <c r="F42" s="18"/>
      <c r="G42" s="18"/>
      <c r="H42" s="18"/>
      <c r="I42" s="9"/>
    </row>
    <row r="43" spans="2:9" ht="19.8" thickBot="1" x14ac:dyDescent="0.35">
      <c r="B43" s="83"/>
      <c r="C43" s="2" t="s">
        <v>43</v>
      </c>
      <c r="D43" s="18"/>
      <c r="E43" s="18"/>
      <c r="F43" s="18"/>
      <c r="G43" s="18"/>
      <c r="H43" s="18"/>
      <c r="I43" s="9"/>
    </row>
    <row r="44" spans="2:9" ht="15" thickBot="1" x14ac:dyDescent="0.35">
      <c r="B44" s="84"/>
      <c r="C44" s="10" t="s">
        <v>44</v>
      </c>
      <c r="D44" s="20">
        <f>SUM(D34:D43)</f>
        <v>1.7999999999999999E-2</v>
      </c>
      <c r="E44" s="20">
        <f t="shared" ref="E44" si="2">SUM(E34:E43)</f>
        <v>1.0999999999999999E-2</v>
      </c>
      <c r="F44" s="20">
        <f>SUM(F34:F43)</f>
        <v>1.3999999999999999E-2</v>
      </c>
      <c r="G44" s="20">
        <f>SUM(G34:G43)</f>
        <v>2.0999999999999998E-2</v>
      </c>
      <c r="H44" s="20">
        <f>SUM(H34:H43)</f>
        <v>1.2E-2</v>
      </c>
      <c r="I44" s="20">
        <f t="shared" ref="I44" si="3">SUM(I34:I43)</f>
        <v>1.4999999999999999E-2</v>
      </c>
    </row>
    <row r="45" spans="2:9" ht="19.2" customHeight="1" x14ac:dyDescent="0.3">
      <c r="B45" s="11"/>
      <c r="C45" s="12" t="s">
        <v>32</v>
      </c>
      <c r="D45" s="13">
        <v>2</v>
      </c>
      <c r="E45" s="13">
        <v>2</v>
      </c>
      <c r="F45" s="13">
        <v>2</v>
      </c>
      <c r="G45" s="13">
        <v>2</v>
      </c>
      <c r="H45" s="13">
        <v>2</v>
      </c>
      <c r="I45" s="13">
        <v>2</v>
      </c>
    </row>
    <row r="46" spans="2:9" x14ac:dyDescent="0.3">
      <c r="B46" s="79" t="s">
        <v>55</v>
      </c>
      <c r="C46" s="79"/>
      <c r="D46" s="24">
        <v>2</v>
      </c>
      <c r="E46" s="24">
        <v>2</v>
      </c>
      <c r="F46" s="24">
        <v>2</v>
      </c>
      <c r="G46" s="24">
        <v>3</v>
      </c>
      <c r="H46" s="24">
        <v>2</v>
      </c>
      <c r="I46" s="24">
        <v>2</v>
      </c>
    </row>
  </sheetData>
  <mergeCells count="16">
    <mergeCell ref="E6:F6"/>
    <mergeCell ref="E7:F7"/>
    <mergeCell ref="B3:C7"/>
    <mergeCell ref="C9:I9"/>
    <mergeCell ref="E5:F5"/>
    <mergeCell ref="H5:I5"/>
    <mergeCell ref="H6:I6"/>
    <mergeCell ref="H7:I7"/>
    <mergeCell ref="D3:I3"/>
    <mergeCell ref="D4:I4"/>
    <mergeCell ref="B46:C46"/>
    <mergeCell ref="B8:I8"/>
    <mergeCell ref="B20:B31"/>
    <mergeCell ref="B33:B44"/>
    <mergeCell ref="K10:L10"/>
    <mergeCell ref="K17:L17"/>
  </mergeCells>
  <phoneticPr fontId="5" type="noConversion"/>
  <pageMargins left="0.7" right="0.7" top="0.75" bottom="0.75" header="0.3" footer="0.3"/>
  <pageSetup paperSize="9"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FEF5-46FF-4384-B81C-22D66B35FF62}">
  <sheetPr>
    <pageSetUpPr fitToPage="1"/>
  </sheetPr>
  <dimension ref="B3:S46"/>
  <sheetViews>
    <sheetView tabSelected="1" zoomScaleNormal="100" workbookViewId="0">
      <selection activeCell="K40" sqref="K40"/>
    </sheetView>
  </sheetViews>
  <sheetFormatPr baseColWidth="10" defaultRowHeight="14.4" x14ac:dyDescent="0.3"/>
  <cols>
    <col min="3" max="8" width="16" customWidth="1"/>
    <col min="9" max="10" width="11.5546875" customWidth="1"/>
    <col min="11" max="11" width="22.77734375" customWidth="1"/>
    <col min="12" max="12" width="11.5546875" customWidth="1"/>
    <col min="13" max="13" width="13.33203125" customWidth="1"/>
    <col min="14" max="15" width="16.21875" customWidth="1"/>
    <col min="16" max="16" width="12.33203125" customWidth="1"/>
    <col min="17" max="17" width="11.5546875" customWidth="1"/>
  </cols>
  <sheetData>
    <row r="3" spans="2:16" ht="14.4" customHeight="1" x14ac:dyDescent="0.3">
      <c r="B3" s="87"/>
      <c r="C3" s="88"/>
      <c r="D3" s="102" t="s">
        <v>0</v>
      </c>
      <c r="E3" s="102"/>
      <c r="F3" s="102"/>
      <c r="G3" s="102"/>
      <c r="H3" s="102"/>
    </row>
    <row r="4" spans="2:16" x14ac:dyDescent="0.3">
      <c r="B4" s="89"/>
      <c r="C4" s="90"/>
      <c r="D4" s="102" t="s">
        <v>1</v>
      </c>
      <c r="E4" s="102"/>
      <c r="F4" s="102"/>
      <c r="G4" s="102"/>
      <c r="H4" s="102"/>
    </row>
    <row r="5" spans="2:16" x14ac:dyDescent="0.3">
      <c r="B5" s="89"/>
      <c r="C5" s="90"/>
      <c r="D5" s="102" t="s">
        <v>2</v>
      </c>
      <c r="E5" s="102"/>
      <c r="F5" s="102"/>
      <c r="G5" s="102" t="s">
        <v>3</v>
      </c>
      <c r="H5" s="102"/>
    </row>
    <row r="6" spans="2:16" x14ac:dyDescent="0.3">
      <c r="B6" s="89"/>
      <c r="C6" s="90"/>
      <c r="D6" s="102" t="s">
        <v>4</v>
      </c>
      <c r="E6" s="102"/>
      <c r="F6" s="102"/>
      <c r="G6" s="102" t="s">
        <v>89</v>
      </c>
      <c r="H6" s="102"/>
    </row>
    <row r="7" spans="2:16" x14ac:dyDescent="0.3">
      <c r="B7" s="91"/>
      <c r="C7" s="92"/>
      <c r="D7" s="102" t="s">
        <v>6</v>
      </c>
      <c r="E7" s="102"/>
      <c r="F7" s="102"/>
      <c r="G7" s="103">
        <f ca="1">TODAY()</f>
        <v>46156</v>
      </c>
      <c r="H7" s="103"/>
    </row>
    <row r="8" spans="2:16" x14ac:dyDescent="0.3">
      <c r="B8" s="130"/>
      <c r="C8" s="131"/>
      <c r="D8" s="131"/>
      <c r="E8" s="131"/>
      <c r="F8" s="131"/>
      <c r="G8" s="131"/>
      <c r="H8" s="132"/>
    </row>
    <row r="9" spans="2:16" x14ac:dyDescent="0.3">
      <c r="B9" s="41"/>
      <c r="C9" s="93"/>
      <c r="D9" s="94"/>
      <c r="E9" s="94"/>
      <c r="F9" s="94"/>
      <c r="G9" s="94"/>
      <c r="H9" s="95"/>
    </row>
    <row r="10" spans="2:16" ht="15" thickBot="1" x14ac:dyDescent="0.35">
      <c r="B10" s="41"/>
      <c r="C10" s="2" t="s">
        <v>7</v>
      </c>
      <c r="D10" s="3" t="s">
        <v>86</v>
      </c>
      <c r="E10" s="3" t="s">
        <v>86</v>
      </c>
      <c r="F10" s="3" t="s">
        <v>86</v>
      </c>
      <c r="G10" s="3" t="s">
        <v>86</v>
      </c>
      <c r="H10" s="50" t="s">
        <v>86</v>
      </c>
      <c r="J10" s="85" t="s">
        <v>70</v>
      </c>
      <c r="K10" s="85"/>
      <c r="M10" s="34" t="s">
        <v>81</v>
      </c>
      <c r="N10" s="34" t="s">
        <v>82</v>
      </c>
      <c r="O10" s="34" t="s">
        <v>85</v>
      </c>
      <c r="P10" s="34" t="s">
        <v>83</v>
      </c>
    </row>
    <row r="11" spans="2:16" ht="15" thickBot="1" x14ac:dyDescent="0.35">
      <c r="B11" s="41"/>
      <c r="C11" s="2" t="s">
        <v>10</v>
      </c>
      <c r="D11" s="3" t="s">
        <v>92</v>
      </c>
      <c r="E11" s="3" t="s">
        <v>11</v>
      </c>
      <c r="F11" s="129" t="s">
        <v>11</v>
      </c>
      <c r="G11" s="3" t="s">
        <v>12</v>
      </c>
      <c r="H11" s="9" t="s">
        <v>99</v>
      </c>
      <c r="J11" s="35" t="s">
        <v>71</v>
      </c>
      <c r="K11" s="35" t="s">
        <v>72</v>
      </c>
      <c r="M11" s="36">
        <v>2</v>
      </c>
      <c r="N11" s="36">
        <v>2</v>
      </c>
      <c r="O11" s="38">
        <v>2</v>
      </c>
      <c r="P11" s="38" t="s">
        <v>18</v>
      </c>
    </row>
    <row r="12" spans="2:16" ht="15" thickBot="1" x14ac:dyDescent="0.35">
      <c r="B12" s="41"/>
      <c r="C12" s="2" t="s">
        <v>13</v>
      </c>
      <c r="D12" s="3" t="s">
        <v>93</v>
      </c>
      <c r="E12" s="3" t="s">
        <v>54</v>
      </c>
      <c r="F12" s="3" t="s">
        <v>54</v>
      </c>
      <c r="G12" s="3" t="s">
        <v>51</v>
      </c>
      <c r="H12" s="9" t="s">
        <v>100</v>
      </c>
      <c r="J12" s="36">
        <v>1</v>
      </c>
      <c r="K12" s="36" t="s">
        <v>73</v>
      </c>
      <c r="M12" s="36">
        <v>3</v>
      </c>
      <c r="N12" s="36">
        <v>2</v>
      </c>
      <c r="O12" s="38">
        <v>2</v>
      </c>
      <c r="P12" s="38" t="s">
        <v>18</v>
      </c>
    </row>
    <row r="13" spans="2:16" ht="15" thickBot="1" x14ac:dyDescent="0.35">
      <c r="B13" s="41"/>
      <c r="C13" s="2" t="s">
        <v>53</v>
      </c>
      <c r="D13" s="3" t="s">
        <v>102</v>
      </c>
      <c r="E13" s="3" t="s">
        <v>102</v>
      </c>
      <c r="F13" s="3" t="s">
        <v>107</v>
      </c>
      <c r="G13" s="3" t="s">
        <v>108</v>
      </c>
      <c r="H13" s="9" t="s">
        <v>101</v>
      </c>
      <c r="J13" s="36">
        <v>2</v>
      </c>
      <c r="K13" s="36" t="s">
        <v>74</v>
      </c>
      <c r="M13" s="36">
        <v>2</v>
      </c>
      <c r="N13" s="36">
        <v>3</v>
      </c>
      <c r="O13" s="39">
        <v>3</v>
      </c>
      <c r="P13" s="39" t="s">
        <v>58</v>
      </c>
    </row>
    <row r="14" spans="2:16" ht="15" thickBot="1" x14ac:dyDescent="0.35">
      <c r="B14" s="41"/>
      <c r="C14" s="2" t="s">
        <v>87</v>
      </c>
      <c r="D14" s="3" t="s">
        <v>88</v>
      </c>
      <c r="E14" s="3" t="s">
        <v>88</v>
      </c>
      <c r="F14" s="3" t="s">
        <v>88</v>
      </c>
      <c r="G14" s="3" t="s">
        <v>88</v>
      </c>
      <c r="H14" s="9" t="s">
        <v>88</v>
      </c>
      <c r="J14" s="36">
        <v>3</v>
      </c>
      <c r="K14" s="36" t="s">
        <v>75</v>
      </c>
      <c r="M14" s="36">
        <v>4</v>
      </c>
      <c r="N14" s="36">
        <v>3</v>
      </c>
      <c r="O14" s="39">
        <v>3</v>
      </c>
      <c r="P14" s="39" t="s">
        <v>58</v>
      </c>
    </row>
    <row r="15" spans="2:16" ht="15" thickBot="1" x14ac:dyDescent="0.35">
      <c r="B15" s="41"/>
      <c r="C15" s="2" t="s">
        <v>14</v>
      </c>
      <c r="D15" s="3" t="s">
        <v>57</v>
      </c>
      <c r="E15" s="3" t="s">
        <v>15</v>
      </c>
      <c r="F15" s="3" t="s">
        <v>15</v>
      </c>
      <c r="G15" s="3" t="s">
        <v>15</v>
      </c>
      <c r="H15" s="4" t="s">
        <v>57</v>
      </c>
      <c r="J15" s="36">
        <v>4</v>
      </c>
      <c r="K15" s="36" t="s">
        <v>76</v>
      </c>
      <c r="M15" s="36">
        <v>4</v>
      </c>
      <c r="N15" s="36">
        <v>2</v>
      </c>
      <c r="O15" s="39">
        <v>3</v>
      </c>
      <c r="P15" s="39" t="s">
        <v>58</v>
      </c>
    </row>
    <row r="16" spans="2:16" ht="15" thickBot="1" x14ac:dyDescent="0.35">
      <c r="B16" s="41"/>
      <c r="C16" s="2" t="s">
        <v>16</v>
      </c>
      <c r="D16" s="3">
        <v>24</v>
      </c>
      <c r="E16" s="3">
        <v>12</v>
      </c>
      <c r="F16" s="3">
        <v>18</v>
      </c>
      <c r="G16" s="3">
        <v>16</v>
      </c>
      <c r="H16" s="4">
        <v>22</v>
      </c>
      <c r="M16" s="36">
        <v>3</v>
      </c>
      <c r="N16" s="36">
        <v>3</v>
      </c>
      <c r="O16" s="39">
        <v>3</v>
      </c>
      <c r="P16" s="39" t="s">
        <v>58</v>
      </c>
    </row>
    <row r="17" spans="2:16" ht="15" thickBot="1" x14ac:dyDescent="0.35">
      <c r="B17" s="41"/>
      <c r="C17" s="2" t="s">
        <v>17</v>
      </c>
      <c r="D17" s="3" t="s">
        <v>58</v>
      </c>
      <c r="E17" s="3" t="s">
        <v>58</v>
      </c>
      <c r="F17" s="3" t="s">
        <v>58</v>
      </c>
      <c r="G17" s="3" t="s">
        <v>58</v>
      </c>
      <c r="H17" s="4" t="s">
        <v>58</v>
      </c>
      <c r="J17" s="85" t="s">
        <v>77</v>
      </c>
      <c r="K17" s="85"/>
      <c r="M17" s="36">
        <v>2</v>
      </c>
      <c r="N17" s="36">
        <v>4</v>
      </c>
      <c r="O17" s="40">
        <v>4</v>
      </c>
      <c r="P17" s="40" t="s">
        <v>84</v>
      </c>
    </row>
    <row r="18" spans="2:16" ht="15" thickBot="1" x14ac:dyDescent="0.35">
      <c r="B18" s="41"/>
      <c r="C18" s="2" t="s">
        <v>19</v>
      </c>
      <c r="D18" s="3" t="s">
        <v>18</v>
      </c>
      <c r="E18" s="3" t="s">
        <v>18</v>
      </c>
      <c r="F18" s="3" t="s">
        <v>18</v>
      </c>
      <c r="G18" s="3" t="s">
        <v>18</v>
      </c>
      <c r="H18" s="4" t="s">
        <v>18</v>
      </c>
      <c r="J18" s="35" t="s">
        <v>71</v>
      </c>
      <c r="K18" s="35" t="s">
        <v>72</v>
      </c>
      <c r="M18" s="36">
        <v>3</v>
      </c>
      <c r="N18" s="36">
        <v>4</v>
      </c>
      <c r="O18" s="40">
        <v>4</v>
      </c>
      <c r="P18" s="40" t="s">
        <v>84</v>
      </c>
    </row>
    <row r="19" spans="2:16" ht="15" thickBot="1" x14ac:dyDescent="0.35">
      <c r="B19" s="42"/>
      <c r="C19" s="2" t="s">
        <v>20</v>
      </c>
      <c r="D19" s="3" t="s">
        <v>58</v>
      </c>
      <c r="E19" s="3" t="s">
        <v>58</v>
      </c>
      <c r="F19" s="3" t="s">
        <v>58</v>
      </c>
      <c r="G19" s="3" t="s">
        <v>58</v>
      </c>
      <c r="H19" s="4" t="s">
        <v>58</v>
      </c>
      <c r="J19" s="36">
        <v>1</v>
      </c>
      <c r="K19" s="37">
        <v>0</v>
      </c>
      <c r="M19" s="36">
        <v>4</v>
      </c>
      <c r="N19" s="36">
        <v>4</v>
      </c>
      <c r="O19" s="40">
        <v>4</v>
      </c>
      <c r="P19" s="40" t="s">
        <v>84</v>
      </c>
    </row>
    <row r="20" spans="2:16" x14ac:dyDescent="0.3">
      <c r="B20" s="82" t="s">
        <v>21</v>
      </c>
      <c r="C20" s="133"/>
      <c r="D20" s="133"/>
      <c r="E20" s="133"/>
      <c r="F20" s="133"/>
      <c r="G20" s="133"/>
      <c r="H20" s="134"/>
      <c r="J20" s="36">
        <v>2</v>
      </c>
      <c r="K20" s="36" t="s">
        <v>78</v>
      </c>
    </row>
    <row r="21" spans="2:16" ht="15" thickBot="1" x14ac:dyDescent="0.35">
      <c r="B21" s="83"/>
      <c r="C21" s="2" t="s">
        <v>22</v>
      </c>
      <c r="D21" s="8">
        <v>3.1E-2</v>
      </c>
      <c r="E21" s="8">
        <v>7.0999999999999994E-2</v>
      </c>
      <c r="F21" s="8">
        <v>0.03</v>
      </c>
      <c r="G21" s="8">
        <v>2.8000000000000001E-2</v>
      </c>
      <c r="H21" s="9">
        <v>1.2E-2</v>
      </c>
      <c r="J21" s="36">
        <v>3</v>
      </c>
      <c r="K21" s="36" t="s">
        <v>79</v>
      </c>
    </row>
    <row r="22" spans="2:16" ht="15" thickBot="1" x14ac:dyDescent="0.35">
      <c r="B22" s="83"/>
      <c r="C22" s="2" t="s">
        <v>23</v>
      </c>
      <c r="D22" s="8">
        <v>8.9999999999999993E-3</v>
      </c>
      <c r="E22" s="8">
        <v>6.0000000000000001E-3</v>
      </c>
      <c r="F22" s="8">
        <v>4.0000000000000001E-3</v>
      </c>
      <c r="G22" s="8">
        <v>3.0000000000000001E-3</v>
      </c>
      <c r="H22" s="9">
        <v>0</v>
      </c>
      <c r="J22" s="36">
        <v>4</v>
      </c>
      <c r="K22" s="36" t="s">
        <v>80</v>
      </c>
    </row>
    <row r="23" spans="2:16" ht="15" thickBot="1" x14ac:dyDescent="0.35">
      <c r="B23" s="83"/>
      <c r="C23" s="2" t="s">
        <v>24</v>
      </c>
      <c r="D23" s="8"/>
      <c r="E23" s="8"/>
      <c r="F23" s="8"/>
      <c r="G23" s="8">
        <v>8.9999999999999993E-3</v>
      </c>
      <c r="H23" s="9"/>
    </row>
    <row r="24" spans="2:16" ht="15" thickBot="1" x14ac:dyDescent="0.35">
      <c r="B24" s="83"/>
      <c r="C24" s="19" t="s">
        <v>25</v>
      </c>
      <c r="D24" s="8"/>
      <c r="E24" s="8">
        <v>6.0000000000000001E-3</v>
      </c>
      <c r="F24" s="8"/>
      <c r="G24" s="8"/>
      <c r="H24" s="9">
        <v>0</v>
      </c>
    </row>
    <row r="25" spans="2:16" ht="15" thickBot="1" x14ac:dyDescent="0.35">
      <c r="B25" s="83"/>
      <c r="C25" s="2" t="s">
        <v>26</v>
      </c>
      <c r="D25" s="8">
        <v>1.2999999999999999E-2</v>
      </c>
      <c r="E25" s="8">
        <v>2.4E-2</v>
      </c>
      <c r="F25" s="8">
        <v>1.2999999999999999E-2</v>
      </c>
      <c r="G25" s="8">
        <v>0.02</v>
      </c>
      <c r="H25" s="9">
        <v>7.0000000000000001E-3</v>
      </c>
    </row>
    <row r="26" spans="2:16" ht="15" thickBot="1" x14ac:dyDescent="0.35">
      <c r="B26" s="83"/>
      <c r="C26" s="2" t="s">
        <v>27</v>
      </c>
      <c r="D26" s="8"/>
      <c r="E26" s="8"/>
      <c r="F26" s="8"/>
      <c r="G26" s="8"/>
      <c r="H26" s="9"/>
    </row>
    <row r="27" spans="2:16" ht="15" thickBot="1" x14ac:dyDescent="0.35">
      <c r="B27" s="83"/>
      <c r="C27" s="2" t="s">
        <v>28</v>
      </c>
      <c r="D27" s="8"/>
      <c r="E27" s="8"/>
      <c r="F27" s="8"/>
      <c r="G27" s="8"/>
      <c r="H27" s="9"/>
    </row>
    <row r="28" spans="2:16" ht="15" thickBot="1" x14ac:dyDescent="0.35">
      <c r="B28" s="83"/>
      <c r="C28" s="2" t="s">
        <v>29</v>
      </c>
      <c r="D28" s="8">
        <v>1.6E-2</v>
      </c>
      <c r="E28" s="8">
        <v>2.4E-2</v>
      </c>
      <c r="F28" s="8">
        <v>2.5999999999999999E-2</v>
      </c>
      <c r="G28" s="8">
        <v>1.9E-2</v>
      </c>
      <c r="H28" s="9">
        <v>1.2E-2</v>
      </c>
    </row>
    <row r="29" spans="2:16" ht="15" thickBot="1" x14ac:dyDescent="0.35">
      <c r="B29" s="83"/>
      <c r="C29" s="2" t="s">
        <v>30</v>
      </c>
      <c r="D29" s="8"/>
      <c r="E29" s="8">
        <v>0</v>
      </c>
      <c r="F29" s="8">
        <v>8.9999999999999993E-3</v>
      </c>
      <c r="G29" s="8"/>
      <c r="H29" s="9">
        <v>4.0000000000000001E-3</v>
      </c>
    </row>
    <row r="30" spans="2:16" ht="19.8" thickBot="1" x14ac:dyDescent="0.35">
      <c r="B30" s="83"/>
      <c r="C30" s="2" t="s">
        <v>31</v>
      </c>
      <c r="D30" s="18"/>
      <c r="E30" s="18"/>
      <c r="F30" s="18"/>
      <c r="G30" s="18"/>
      <c r="H30" s="54">
        <v>4.0000000000000001E-3</v>
      </c>
    </row>
    <row r="31" spans="2:16" ht="15" thickBot="1" x14ac:dyDescent="0.35">
      <c r="B31" s="84"/>
      <c r="C31" s="10" t="s">
        <v>21</v>
      </c>
      <c r="D31" s="20">
        <f>SUM(D21:D30)</f>
        <v>6.9000000000000006E-2</v>
      </c>
      <c r="E31" s="20">
        <f t="shared" ref="E31:H31" si="0">SUM(E21:E30)</f>
        <v>0.13100000000000001</v>
      </c>
      <c r="F31" s="20">
        <f t="shared" si="0"/>
        <v>8.199999999999999E-2</v>
      </c>
      <c r="G31" s="20">
        <f t="shared" si="0"/>
        <v>7.9000000000000001E-2</v>
      </c>
      <c r="H31" s="135">
        <f t="shared" si="0"/>
        <v>3.9000000000000007E-2</v>
      </c>
    </row>
    <row r="32" spans="2:16" ht="15" thickBot="1" x14ac:dyDescent="0.35">
      <c r="B32" s="11"/>
      <c r="C32" s="136" t="s">
        <v>32</v>
      </c>
      <c r="D32" s="137">
        <v>3</v>
      </c>
      <c r="E32" s="137">
        <v>4</v>
      </c>
      <c r="F32" s="137">
        <v>4</v>
      </c>
      <c r="G32" s="137">
        <v>4</v>
      </c>
      <c r="H32" s="138">
        <v>2</v>
      </c>
    </row>
    <row r="33" spans="2:8" x14ac:dyDescent="0.3">
      <c r="B33" s="82" t="s">
        <v>33</v>
      </c>
      <c r="C33" s="133"/>
      <c r="D33" s="133"/>
      <c r="E33" s="133"/>
      <c r="F33" s="133"/>
      <c r="G33" s="133"/>
      <c r="H33" s="134"/>
    </row>
    <row r="34" spans="2:8" ht="15" thickBot="1" x14ac:dyDescent="0.35">
      <c r="B34" s="83"/>
      <c r="C34" s="2" t="s">
        <v>34</v>
      </c>
      <c r="D34" s="18">
        <v>8.9999999999999993E-3</v>
      </c>
      <c r="E34" s="18">
        <v>1.0999999999999999E-2</v>
      </c>
      <c r="F34" s="18">
        <v>0</v>
      </c>
      <c r="G34" s="18">
        <v>8.9999999999999993E-3</v>
      </c>
      <c r="H34" s="54">
        <v>2E-3</v>
      </c>
    </row>
    <row r="35" spans="2:8" ht="15" thickBot="1" x14ac:dyDescent="0.35">
      <c r="B35" s="83"/>
      <c r="C35" s="2" t="s">
        <v>35</v>
      </c>
      <c r="D35" s="18"/>
      <c r="E35" s="18">
        <v>2E-3</v>
      </c>
      <c r="F35" s="18"/>
      <c r="G35" s="18"/>
      <c r="H35" s="54"/>
    </row>
    <row r="36" spans="2:8" ht="15" thickBot="1" x14ac:dyDescent="0.35">
      <c r="B36" s="83"/>
      <c r="C36" s="2" t="s">
        <v>36</v>
      </c>
      <c r="D36" s="18"/>
      <c r="E36" s="18"/>
      <c r="F36" s="18"/>
      <c r="G36" s="18"/>
      <c r="H36" s="54"/>
    </row>
    <row r="37" spans="2:8" ht="15" thickBot="1" x14ac:dyDescent="0.35">
      <c r="B37" s="83"/>
      <c r="C37" s="2" t="s">
        <v>37</v>
      </c>
      <c r="D37" s="18"/>
      <c r="E37" s="18"/>
      <c r="F37" s="18"/>
      <c r="G37" s="18"/>
      <c r="H37" s="54"/>
    </row>
    <row r="38" spans="2:8" ht="15" thickBot="1" x14ac:dyDescent="0.35">
      <c r="B38" s="83"/>
      <c r="C38" s="2" t="s">
        <v>38</v>
      </c>
      <c r="D38" s="18"/>
      <c r="E38" s="18"/>
      <c r="F38" s="18"/>
      <c r="G38" s="18"/>
      <c r="H38" s="54"/>
    </row>
    <row r="39" spans="2:8" ht="15" thickBot="1" x14ac:dyDescent="0.35">
      <c r="B39" s="83"/>
      <c r="C39" s="2" t="s">
        <v>39</v>
      </c>
      <c r="D39" s="18"/>
      <c r="E39" s="18"/>
      <c r="F39" s="18"/>
      <c r="G39" s="18"/>
      <c r="H39" s="54"/>
    </row>
    <row r="40" spans="2:8" ht="15" thickBot="1" x14ac:dyDescent="0.35">
      <c r="B40" s="83"/>
      <c r="C40" s="2" t="s">
        <v>40</v>
      </c>
      <c r="D40" s="18"/>
      <c r="E40" s="18"/>
      <c r="F40" s="18"/>
      <c r="G40" s="18"/>
      <c r="H40" s="54"/>
    </row>
    <row r="41" spans="2:8" ht="15" thickBot="1" x14ac:dyDescent="0.35">
      <c r="B41" s="83"/>
      <c r="C41" s="2" t="s">
        <v>41</v>
      </c>
      <c r="D41" s="18"/>
      <c r="E41" s="18"/>
      <c r="F41" s="18"/>
      <c r="G41" s="18"/>
      <c r="H41" s="54"/>
    </row>
    <row r="42" spans="2:8" ht="15" thickBot="1" x14ac:dyDescent="0.35">
      <c r="B42" s="83"/>
      <c r="C42" s="2" t="s">
        <v>42</v>
      </c>
      <c r="D42" s="18"/>
      <c r="E42" s="18"/>
      <c r="F42" s="18"/>
      <c r="G42" s="18"/>
      <c r="H42" s="54"/>
    </row>
    <row r="43" spans="2:8" ht="19.8" thickBot="1" x14ac:dyDescent="0.35">
      <c r="B43" s="83"/>
      <c r="C43" s="2" t="s">
        <v>43</v>
      </c>
      <c r="D43" s="18"/>
      <c r="E43" s="18"/>
      <c r="F43" s="18"/>
      <c r="G43" s="18"/>
      <c r="H43" s="54"/>
    </row>
    <row r="44" spans="2:8" ht="15" thickBot="1" x14ac:dyDescent="0.35">
      <c r="B44" s="84"/>
      <c r="C44" s="10" t="s">
        <v>44</v>
      </c>
      <c r="D44" s="20">
        <f>SUM(D34:D43)</f>
        <v>8.9999999999999993E-3</v>
      </c>
      <c r="E44" s="20">
        <f t="shared" ref="E44:H44" si="1">SUM(E34:E43)</f>
        <v>1.2999999999999999E-2</v>
      </c>
      <c r="F44" s="20">
        <f t="shared" si="1"/>
        <v>0</v>
      </c>
      <c r="G44" s="20">
        <f t="shared" si="1"/>
        <v>8.9999999999999993E-3</v>
      </c>
      <c r="H44" s="139">
        <f t="shared" si="1"/>
        <v>2E-3</v>
      </c>
    </row>
    <row r="45" spans="2:8" ht="19.2" customHeight="1" x14ac:dyDescent="0.3">
      <c r="B45" s="11"/>
      <c r="C45" s="12" t="s">
        <v>32</v>
      </c>
      <c r="D45" s="13">
        <v>2</v>
      </c>
      <c r="E45" s="13">
        <v>2</v>
      </c>
      <c r="F45" s="13">
        <v>2</v>
      </c>
      <c r="G45" s="13">
        <v>2</v>
      </c>
      <c r="H45" s="61">
        <v>2</v>
      </c>
    </row>
    <row r="46" spans="2:8" x14ac:dyDescent="0.3">
      <c r="B46" s="79" t="s">
        <v>55</v>
      </c>
      <c r="C46" s="79"/>
      <c r="D46" s="24">
        <v>3</v>
      </c>
      <c r="E46" s="24">
        <v>3</v>
      </c>
      <c r="F46" s="24">
        <v>3</v>
      </c>
      <c r="G46" s="24">
        <v>3</v>
      </c>
      <c r="H46" s="140">
        <v>2</v>
      </c>
    </row>
  </sheetData>
  <mergeCells count="16">
    <mergeCell ref="B3:C7"/>
    <mergeCell ref="D3:H3"/>
    <mergeCell ref="D4:H4"/>
    <mergeCell ref="G5:H5"/>
    <mergeCell ref="G6:H6"/>
    <mergeCell ref="G7:H7"/>
    <mergeCell ref="D5:F5"/>
    <mergeCell ref="D6:F6"/>
    <mergeCell ref="D7:F7"/>
    <mergeCell ref="B46:C46"/>
    <mergeCell ref="B8:H8"/>
    <mergeCell ref="C9:H9"/>
    <mergeCell ref="J10:K10"/>
    <mergeCell ref="J17:K17"/>
    <mergeCell ref="B20:B31"/>
    <mergeCell ref="B33:B44"/>
  </mergeCells>
  <pageMargins left="0.7" right="0.7" top="0.75" bottom="0.75" header="0.3" footer="0.3"/>
  <pageSetup paperSize="9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E012-DC26-425E-943B-9F8380E57EB7}">
  <sheetPr>
    <pageSetUpPr fitToPage="1"/>
  </sheetPr>
  <dimension ref="B2:R46"/>
  <sheetViews>
    <sheetView topLeftCell="A3" zoomScaleNormal="100" workbookViewId="0">
      <selection activeCell="F12" sqref="F12"/>
    </sheetView>
  </sheetViews>
  <sheetFormatPr baseColWidth="10" defaultRowHeight="14.4" x14ac:dyDescent="0.3"/>
  <cols>
    <col min="3" max="3" width="16" customWidth="1"/>
    <col min="10" max="10" width="13" customWidth="1"/>
    <col min="11" max="11" width="11.5546875" customWidth="1"/>
    <col min="12" max="12" width="11.5546875" hidden="1" customWidth="1"/>
    <col min="13" max="13" width="22.77734375" hidden="1" customWidth="1"/>
    <col min="14" max="14" width="11.5546875" hidden="1" customWidth="1"/>
    <col min="15" max="15" width="13.33203125" hidden="1" customWidth="1"/>
    <col min="16" max="17" width="16.21875" hidden="1" customWidth="1"/>
    <col min="18" max="18" width="12.33203125" hidden="1" customWidth="1"/>
    <col min="19" max="19" width="11.5546875" customWidth="1"/>
  </cols>
  <sheetData>
    <row r="2" spans="2:18" ht="15" thickBot="1" x14ac:dyDescent="0.35"/>
    <row r="3" spans="2:18" ht="14.4" customHeight="1" thickBot="1" x14ac:dyDescent="0.35">
      <c r="B3" s="87"/>
      <c r="C3" s="88"/>
      <c r="D3" s="104" t="s">
        <v>0</v>
      </c>
      <c r="E3" s="86"/>
      <c r="F3" s="86"/>
      <c r="G3" s="86"/>
      <c r="H3" s="86"/>
      <c r="I3" s="86"/>
      <c r="J3" s="96"/>
    </row>
    <row r="4" spans="2:18" ht="15" thickBot="1" x14ac:dyDescent="0.35">
      <c r="B4" s="89"/>
      <c r="C4" s="90"/>
      <c r="D4" s="104" t="s">
        <v>1</v>
      </c>
      <c r="E4" s="86"/>
      <c r="F4" s="86"/>
      <c r="G4" s="86"/>
      <c r="H4" s="86"/>
      <c r="I4" s="86"/>
      <c r="J4" s="96"/>
    </row>
    <row r="5" spans="2:18" ht="15" thickBot="1" x14ac:dyDescent="0.35">
      <c r="B5" s="89"/>
      <c r="C5" s="90"/>
      <c r="D5" s="104" t="s">
        <v>2</v>
      </c>
      <c r="E5" s="86"/>
      <c r="F5" s="86" t="s">
        <v>95</v>
      </c>
      <c r="G5" s="86"/>
      <c r="H5" s="86"/>
      <c r="I5" s="86"/>
      <c r="J5" s="105"/>
    </row>
    <row r="6" spans="2:18" ht="15" thickBot="1" x14ac:dyDescent="0.35">
      <c r="B6" s="89"/>
      <c r="C6" s="90"/>
      <c r="D6" s="104" t="s">
        <v>4</v>
      </c>
      <c r="E6" s="86"/>
      <c r="F6" s="86" t="s">
        <v>89</v>
      </c>
      <c r="G6" s="86"/>
      <c r="H6" s="86"/>
      <c r="I6" s="86"/>
      <c r="J6" s="105"/>
    </row>
    <row r="7" spans="2:18" ht="15" thickBot="1" x14ac:dyDescent="0.35">
      <c r="B7" s="91"/>
      <c r="C7" s="92"/>
      <c r="D7" s="104" t="s">
        <v>6</v>
      </c>
      <c r="E7" s="86"/>
      <c r="F7" s="97">
        <f ca="1">TODAY()</f>
        <v>46156</v>
      </c>
      <c r="G7" s="97"/>
      <c r="H7" s="97"/>
      <c r="I7" s="97"/>
      <c r="J7" s="106"/>
    </row>
    <row r="8" spans="2:18" x14ac:dyDescent="0.3">
      <c r="B8" s="80"/>
      <c r="C8" s="81"/>
      <c r="D8" s="81"/>
      <c r="E8" s="81"/>
      <c r="F8" s="81"/>
      <c r="G8" s="81"/>
      <c r="H8" s="81"/>
      <c r="I8" s="81"/>
      <c r="J8" s="81"/>
    </row>
    <row r="9" spans="2:18" x14ac:dyDescent="0.3">
      <c r="B9" s="41"/>
      <c r="C9" s="93"/>
      <c r="D9" s="94"/>
      <c r="E9" s="94"/>
      <c r="F9" s="94"/>
      <c r="G9" s="94"/>
      <c r="H9" s="94"/>
      <c r="I9" s="94"/>
      <c r="J9" s="95"/>
    </row>
    <row r="10" spans="2:18" ht="15" thickBot="1" x14ac:dyDescent="0.35">
      <c r="B10" s="41"/>
      <c r="C10" s="2" t="s">
        <v>7</v>
      </c>
      <c r="D10" s="3" t="s">
        <v>86</v>
      </c>
      <c r="E10" s="3" t="s">
        <v>86</v>
      </c>
      <c r="F10" s="3" t="s">
        <v>86</v>
      </c>
      <c r="G10" s="3" t="s">
        <v>86</v>
      </c>
      <c r="H10" s="3" t="s">
        <v>86</v>
      </c>
      <c r="I10" s="3" t="s">
        <v>86</v>
      </c>
      <c r="J10" s="4" t="s">
        <v>86</v>
      </c>
      <c r="L10" s="85" t="s">
        <v>70</v>
      </c>
      <c r="M10" s="85"/>
      <c r="O10" s="34" t="s">
        <v>81</v>
      </c>
      <c r="P10" s="34" t="s">
        <v>82</v>
      </c>
      <c r="Q10" s="34" t="s">
        <v>85</v>
      </c>
      <c r="R10" s="34" t="s">
        <v>83</v>
      </c>
    </row>
    <row r="11" spans="2:18" ht="15" thickBot="1" x14ac:dyDescent="0.35">
      <c r="B11" s="41"/>
      <c r="C11" s="2" t="s">
        <v>10</v>
      </c>
      <c r="D11" s="3" t="s">
        <v>92</v>
      </c>
      <c r="E11" s="3" t="s">
        <v>12</v>
      </c>
      <c r="F11" s="3" t="s">
        <v>12</v>
      </c>
      <c r="G11" s="8" t="s">
        <v>94</v>
      </c>
      <c r="H11" s="8" t="s">
        <v>94</v>
      </c>
      <c r="I11" s="3" t="s">
        <v>11</v>
      </c>
      <c r="J11" s="9" t="s">
        <v>99</v>
      </c>
      <c r="L11" s="35" t="s">
        <v>71</v>
      </c>
      <c r="M11" s="35" t="s">
        <v>72</v>
      </c>
      <c r="O11" s="36">
        <v>2</v>
      </c>
      <c r="P11" s="36">
        <v>2</v>
      </c>
      <c r="Q11" s="38">
        <v>2</v>
      </c>
      <c r="R11" s="38" t="s">
        <v>18</v>
      </c>
    </row>
    <row r="12" spans="2:18" ht="15" thickBot="1" x14ac:dyDescent="0.35">
      <c r="B12" s="41"/>
      <c r="C12" s="2" t="s">
        <v>13</v>
      </c>
      <c r="D12" s="3" t="s">
        <v>93</v>
      </c>
      <c r="E12" s="3" t="s">
        <v>51</v>
      </c>
      <c r="F12" s="3" t="s">
        <v>51</v>
      </c>
      <c r="G12" s="8" t="s">
        <v>103</v>
      </c>
      <c r="H12" s="8" t="s">
        <v>103</v>
      </c>
      <c r="I12" s="3" t="s">
        <v>54</v>
      </c>
      <c r="J12" s="63" t="s">
        <v>100</v>
      </c>
      <c r="L12" s="36">
        <v>1</v>
      </c>
      <c r="M12" s="36" t="s">
        <v>73</v>
      </c>
      <c r="O12" s="36">
        <v>3</v>
      </c>
      <c r="P12" s="36">
        <v>2</v>
      </c>
      <c r="Q12" s="38">
        <v>2</v>
      </c>
      <c r="R12" s="38" t="s">
        <v>18</v>
      </c>
    </row>
    <row r="13" spans="2:18" ht="15" thickBot="1" x14ac:dyDescent="0.35">
      <c r="B13" s="41"/>
      <c r="C13" s="2" t="s">
        <v>53</v>
      </c>
      <c r="D13" s="3" t="s">
        <v>96</v>
      </c>
      <c r="E13" s="3" t="s">
        <v>104</v>
      </c>
      <c r="F13" s="3" t="s">
        <v>108</v>
      </c>
      <c r="G13" s="3" t="s">
        <v>105</v>
      </c>
      <c r="H13" s="3" t="s">
        <v>106</v>
      </c>
      <c r="I13" s="3" t="s">
        <v>107</v>
      </c>
      <c r="J13" s="9" t="s">
        <v>101</v>
      </c>
      <c r="L13" s="36">
        <v>2</v>
      </c>
      <c r="M13" s="36" t="s">
        <v>74</v>
      </c>
      <c r="O13" s="36">
        <v>2</v>
      </c>
      <c r="P13" s="36">
        <v>3</v>
      </c>
      <c r="Q13" s="39">
        <v>3</v>
      </c>
      <c r="R13" s="39" t="s">
        <v>58</v>
      </c>
    </row>
    <row r="14" spans="2:18" ht="15" thickBot="1" x14ac:dyDescent="0.35">
      <c r="B14" s="41"/>
      <c r="C14" s="2" t="s">
        <v>87</v>
      </c>
      <c r="D14" s="3" t="s">
        <v>88</v>
      </c>
      <c r="E14" s="3" t="s">
        <v>88</v>
      </c>
      <c r="F14" s="3" t="s">
        <v>88</v>
      </c>
      <c r="G14" s="8" t="s">
        <v>88</v>
      </c>
      <c r="H14" s="8" t="s">
        <v>88</v>
      </c>
      <c r="I14" s="3" t="s">
        <v>88</v>
      </c>
      <c r="J14" s="9" t="s">
        <v>88</v>
      </c>
      <c r="L14" s="36">
        <v>3</v>
      </c>
      <c r="M14" s="36" t="s">
        <v>75</v>
      </c>
      <c r="O14" s="36">
        <v>4</v>
      </c>
      <c r="P14" s="36">
        <v>3</v>
      </c>
      <c r="Q14" s="39">
        <v>3</v>
      </c>
      <c r="R14" s="39" t="s">
        <v>58</v>
      </c>
    </row>
    <row r="15" spans="2:18" ht="15" thickBot="1" x14ac:dyDescent="0.35">
      <c r="B15" s="41"/>
      <c r="C15" s="2" t="s">
        <v>14</v>
      </c>
      <c r="D15" s="3" t="s">
        <v>57</v>
      </c>
      <c r="E15" s="3" t="s">
        <v>15</v>
      </c>
      <c r="F15" s="3" t="s">
        <v>15</v>
      </c>
      <c r="G15" s="3" t="s">
        <v>15</v>
      </c>
      <c r="H15" s="3" t="s">
        <v>15</v>
      </c>
      <c r="I15" s="3" t="s">
        <v>15</v>
      </c>
      <c r="J15" s="4" t="s">
        <v>57</v>
      </c>
      <c r="L15" s="36">
        <v>4</v>
      </c>
      <c r="M15" s="36" t="s">
        <v>76</v>
      </c>
      <c r="O15" s="36">
        <v>4</v>
      </c>
      <c r="P15" s="36">
        <v>2</v>
      </c>
      <c r="Q15" s="39">
        <v>3</v>
      </c>
      <c r="R15" s="39" t="s">
        <v>58</v>
      </c>
    </row>
    <row r="16" spans="2:18" ht="15" thickBot="1" x14ac:dyDescent="0.35">
      <c r="B16" s="41"/>
      <c r="C16" s="2" t="s">
        <v>16</v>
      </c>
      <c r="D16" s="3">
        <v>24</v>
      </c>
      <c r="E16" s="3">
        <v>16</v>
      </c>
      <c r="F16" s="3">
        <v>16</v>
      </c>
      <c r="G16" s="3">
        <v>18</v>
      </c>
      <c r="H16" s="3">
        <v>22</v>
      </c>
      <c r="I16" s="3">
        <v>18</v>
      </c>
      <c r="J16" s="4">
        <v>22</v>
      </c>
      <c r="O16" s="36">
        <v>3</v>
      </c>
      <c r="P16" s="36">
        <v>3</v>
      </c>
      <c r="Q16" s="39">
        <v>3</v>
      </c>
      <c r="R16" s="39" t="s">
        <v>58</v>
      </c>
    </row>
    <row r="17" spans="2:18" ht="15" thickBot="1" x14ac:dyDescent="0.35">
      <c r="B17" s="41"/>
      <c r="C17" s="2" t="s">
        <v>17</v>
      </c>
      <c r="D17" s="3" t="s">
        <v>58</v>
      </c>
      <c r="E17" s="3" t="s">
        <v>58</v>
      </c>
      <c r="F17" s="3" t="s">
        <v>58</v>
      </c>
      <c r="G17" s="3" t="s">
        <v>58</v>
      </c>
      <c r="H17" s="3" t="s">
        <v>58</v>
      </c>
      <c r="I17" s="3" t="s">
        <v>58</v>
      </c>
      <c r="J17" s="55" t="s">
        <v>58</v>
      </c>
      <c r="L17" s="85" t="s">
        <v>77</v>
      </c>
      <c r="M17" s="85"/>
      <c r="O17" s="36">
        <v>2</v>
      </c>
      <c r="P17" s="36">
        <v>4</v>
      </c>
      <c r="Q17" s="40">
        <v>4</v>
      </c>
      <c r="R17" s="40" t="s">
        <v>84</v>
      </c>
    </row>
    <row r="18" spans="2:18" ht="15" thickBot="1" x14ac:dyDescent="0.35">
      <c r="B18" s="41"/>
      <c r="C18" s="2" t="s">
        <v>19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56" t="s">
        <v>18</v>
      </c>
      <c r="L18" s="35" t="s">
        <v>71</v>
      </c>
      <c r="M18" s="35" t="s">
        <v>72</v>
      </c>
      <c r="O18" s="36">
        <v>3</v>
      </c>
      <c r="P18" s="36">
        <v>4</v>
      </c>
      <c r="Q18" s="40">
        <v>4</v>
      </c>
      <c r="R18" s="40" t="s">
        <v>84</v>
      </c>
    </row>
    <row r="19" spans="2:18" ht="15" thickBot="1" x14ac:dyDescent="0.35">
      <c r="B19" s="42"/>
      <c r="C19" s="2" t="s">
        <v>20</v>
      </c>
      <c r="D19" s="3" t="s">
        <v>58</v>
      </c>
      <c r="E19" s="3" t="s">
        <v>18</v>
      </c>
      <c r="F19" s="3" t="s">
        <v>18</v>
      </c>
      <c r="G19" s="3" t="s">
        <v>58</v>
      </c>
      <c r="H19" s="3" t="s">
        <v>58</v>
      </c>
      <c r="I19" s="3" t="s">
        <v>18</v>
      </c>
      <c r="J19" s="56" t="s">
        <v>58</v>
      </c>
      <c r="L19" s="36">
        <v>1</v>
      </c>
      <c r="M19" s="37">
        <v>0</v>
      </c>
      <c r="O19" s="36">
        <v>4</v>
      </c>
      <c r="P19" s="36">
        <v>4</v>
      </c>
      <c r="Q19" s="40">
        <v>4</v>
      </c>
      <c r="R19" s="40" t="s">
        <v>84</v>
      </c>
    </row>
    <row r="20" spans="2:18" x14ac:dyDescent="0.3">
      <c r="B20" s="82" t="s">
        <v>21</v>
      </c>
      <c r="C20" s="5"/>
      <c r="D20" s="6"/>
      <c r="E20" s="6"/>
      <c r="F20" s="6"/>
      <c r="G20" s="6"/>
      <c r="H20" s="6"/>
      <c r="I20" s="6"/>
      <c r="J20" s="57"/>
      <c r="L20" s="36">
        <v>2</v>
      </c>
      <c r="M20" s="36" t="s">
        <v>78</v>
      </c>
    </row>
    <row r="21" spans="2:18" ht="15" thickBot="1" x14ac:dyDescent="0.35">
      <c r="B21" s="83"/>
      <c r="C21" s="2" t="s">
        <v>22</v>
      </c>
      <c r="D21" s="8">
        <v>1.2999999999999999E-2</v>
      </c>
      <c r="E21" s="8">
        <v>2.1000000000000001E-2</v>
      </c>
      <c r="F21" s="8">
        <v>1.0999999999999999E-2</v>
      </c>
      <c r="G21" s="8">
        <v>1.4E-2</v>
      </c>
      <c r="H21" s="8">
        <v>8.9999999999999993E-3</v>
      </c>
      <c r="I21" s="8">
        <v>8.9999999999999993E-3</v>
      </c>
      <c r="J21" s="59">
        <v>1.0999999999999999E-2</v>
      </c>
      <c r="L21" s="36">
        <v>3</v>
      </c>
      <c r="M21" s="36" t="s">
        <v>79</v>
      </c>
    </row>
    <row r="22" spans="2:18" ht="15" thickBot="1" x14ac:dyDescent="0.35">
      <c r="B22" s="83"/>
      <c r="C22" s="2" t="s">
        <v>23</v>
      </c>
      <c r="D22" s="8"/>
      <c r="E22" s="8"/>
      <c r="F22" s="8">
        <v>5.0000000000000001E-3</v>
      </c>
      <c r="G22" s="8">
        <v>3.0000000000000001E-3</v>
      </c>
      <c r="H22" s="8">
        <v>2E-3</v>
      </c>
      <c r="I22" s="8">
        <v>5.0000000000000001E-3</v>
      </c>
      <c r="J22" s="59">
        <v>2E-3</v>
      </c>
      <c r="L22" s="36">
        <v>4</v>
      </c>
      <c r="M22" s="36" t="s">
        <v>80</v>
      </c>
    </row>
    <row r="23" spans="2:18" ht="15" thickBot="1" x14ac:dyDescent="0.35">
      <c r="B23" s="83"/>
      <c r="C23" s="2" t="s">
        <v>24</v>
      </c>
      <c r="D23" s="8"/>
      <c r="E23" s="8"/>
      <c r="F23" s="8"/>
      <c r="G23" s="8"/>
      <c r="H23" s="8"/>
      <c r="I23" s="8"/>
      <c r="J23" s="59"/>
    </row>
    <row r="24" spans="2:18" ht="15" thickBot="1" x14ac:dyDescent="0.35">
      <c r="B24" s="83"/>
      <c r="C24" s="19" t="s">
        <v>25</v>
      </c>
      <c r="D24" s="8"/>
      <c r="E24" s="8">
        <v>1.0999999999999999E-2</v>
      </c>
      <c r="F24" s="8"/>
      <c r="G24" s="8">
        <v>2E-3</v>
      </c>
      <c r="H24" s="8"/>
      <c r="I24" s="8">
        <v>5.0000000000000001E-3</v>
      </c>
      <c r="J24" s="59">
        <v>2E-3</v>
      </c>
    </row>
    <row r="25" spans="2:18" ht="15" thickBot="1" x14ac:dyDescent="0.35">
      <c r="B25" s="83"/>
      <c r="C25" s="2" t="s">
        <v>26</v>
      </c>
      <c r="D25" s="8">
        <v>0.01</v>
      </c>
      <c r="E25" s="8"/>
      <c r="F25" s="8">
        <v>1.0999999999999999E-2</v>
      </c>
      <c r="G25" s="8">
        <v>8.9999999999999993E-3</v>
      </c>
      <c r="H25" s="8">
        <v>8.0000000000000002E-3</v>
      </c>
      <c r="I25" s="8">
        <v>1.4E-2</v>
      </c>
      <c r="J25" s="59">
        <v>7.0000000000000001E-3</v>
      </c>
    </row>
    <row r="26" spans="2:18" ht="15" thickBot="1" x14ac:dyDescent="0.35">
      <c r="B26" s="83"/>
      <c r="C26" s="2" t="s">
        <v>27</v>
      </c>
      <c r="D26" s="8"/>
      <c r="E26" s="8"/>
      <c r="F26" s="8"/>
      <c r="G26" s="8"/>
      <c r="H26" s="8"/>
      <c r="I26" s="8"/>
      <c r="J26" s="59"/>
    </row>
    <row r="27" spans="2:18" ht="15" thickBot="1" x14ac:dyDescent="0.35">
      <c r="B27" s="83"/>
      <c r="C27" s="2" t="s">
        <v>28</v>
      </c>
      <c r="D27" s="8"/>
      <c r="E27" s="8"/>
      <c r="F27" s="8"/>
      <c r="G27" s="8"/>
      <c r="H27" s="8"/>
      <c r="I27" s="8"/>
      <c r="J27" s="59"/>
    </row>
    <row r="28" spans="2:18" ht="15" thickBot="1" x14ac:dyDescent="0.35">
      <c r="B28" s="83"/>
      <c r="C28" s="2" t="s">
        <v>29</v>
      </c>
      <c r="D28" s="8">
        <v>0.01</v>
      </c>
      <c r="E28" s="8"/>
      <c r="F28" s="8">
        <v>1.0999999999999999E-2</v>
      </c>
      <c r="G28" s="8">
        <v>1.2E-2</v>
      </c>
      <c r="H28" s="8">
        <v>4.0000000000000001E-3</v>
      </c>
      <c r="I28" s="8"/>
      <c r="J28" s="59">
        <v>8.0000000000000002E-3</v>
      </c>
    </row>
    <row r="29" spans="2:18" ht="15" thickBot="1" x14ac:dyDescent="0.35">
      <c r="B29" s="83"/>
      <c r="C29" s="2" t="s">
        <v>30</v>
      </c>
      <c r="D29" s="8"/>
      <c r="E29" s="8">
        <v>1.0999999999999999E-2</v>
      </c>
      <c r="F29" s="8">
        <v>5.0000000000000001E-3</v>
      </c>
      <c r="G29" s="8">
        <v>7.0000000000000001E-3</v>
      </c>
      <c r="H29" s="8"/>
      <c r="I29" s="8">
        <v>8.9999999999999993E-3</v>
      </c>
      <c r="J29" s="59"/>
    </row>
    <row r="30" spans="2:18" ht="19.8" thickBot="1" x14ac:dyDescent="0.35">
      <c r="B30" s="83"/>
      <c r="C30" s="2" t="s">
        <v>31</v>
      </c>
      <c r="D30" s="8"/>
      <c r="E30" s="8"/>
      <c r="F30" s="8"/>
      <c r="G30" s="8">
        <v>4.0000000000000001E-3</v>
      </c>
      <c r="H30" s="8">
        <v>8.9999999999999993E-3</v>
      </c>
      <c r="I30" s="8"/>
      <c r="J30" s="59">
        <v>1E-3</v>
      </c>
    </row>
    <row r="31" spans="2:18" ht="15" thickBot="1" x14ac:dyDescent="0.35">
      <c r="B31" s="84"/>
      <c r="C31" s="10" t="s">
        <v>21</v>
      </c>
      <c r="D31" s="20">
        <f>SUM(D21:D30)</f>
        <v>3.3000000000000002E-2</v>
      </c>
      <c r="E31" s="20">
        <f t="shared" ref="E31:J31" si="0">SUM(E21:E30)</f>
        <v>4.2999999999999997E-2</v>
      </c>
      <c r="F31" s="20">
        <f t="shared" si="0"/>
        <v>4.2999999999999997E-2</v>
      </c>
      <c r="G31" s="20">
        <f t="shared" si="0"/>
        <v>5.1000000000000004E-2</v>
      </c>
      <c r="H31" s="20">
        <f t="shared" si="0"/>
        <v>3.2000000000000001E-2</v>
      </c>
      <c r="I31" s="20">
        <f t="shared" si="0"/>
        <v>4.2000000000000003E-2</v>
      </c>
      <c r="J31" s="60">
        <f t="shared" si="0"/>
        <v>3.1E-2</v>
      </c>
    </row>
    <row r="32" spans="2:18" ht="15" thickBot="1" x14ac:dyDescent="0.35">
      <c r="B32" s="11"/>
      <c r="C32" s="12" t="s">
        <v>32</v>
      </c>
      <c r="D32" s="13">
        <v>2</v>
      </c>
      <c r="E32" s="13">
        <v>2</v>
      </c>
      <c r="F32" s="13">
        <v>2</v>
      </c>
      <c r="G32" s="13">
        <v>3</v>
      </c>
      <c r="H32" s="13">
        <v>2</v>
      </c>
      <c r="I32" s="13">
        <v>2</v>
      </c>
      <c r="J32" s="61">
        <v>2</v>
      </c>
    </row>
    <row r="33" spans="2:10" x14ac:dyDescent="0.3">
      <c r="B33" s="82" t="s">
        <v>33</v>
      </c>
      <c r="C33" s="5"/>
      <c r="D33" s="6"/>
      <c r="E33" s="6"/>
      <c r="F33" s="6"/>
      <c r="G33" s="6"/>
      <c r="H33" s="6"/>
      <c r="I33" s="6"/>
      <c r="J33" s="62"/>
    </row>
    <row r="34" spans="2:10" ht="15" thickBot="1" x14ac:dyDescent="0.35">
      <c r="B34" s="83"/>
      <c r="C34" s="2" t="s">
        <v>34</v>
      </c>
      <c r="D34" s="18">
        <v>1.0999999999999999E-2</v>
      </c>
      <c r="E34" s="18">
        <v>1.0999999999999999E-2</v>
      </c>
      <c r="F34" s="18">
        <v>8.9999999999999993E-3</v>
      </c>
      <c r="G34" s="18">
        <v>0.01</v>
      </c>
      <c r="H34" s="18">
        <v>8.9999999999999993E-3</v>
      </c>
      <c r="I34" s="18">
        <v>0.01</v>
      </c>
      <c r="J34" s="59">
        <v>7.0000000000000001E-3</v>
      </c>
    </row>
    <row r="35" spans="2:10" ht="15" thickBot="1" x14ac:dyDescent="0.35">
      <c r="B35" s="83"/>
      <c r="C35" s="2" t="s">
        <v>35</v>
      </c>
      <c r="D35" s="18"/>
      <c r="E35" s="18"/>
      <c r="F35" s="18"/>
      <c r="G35" s="18"/>
      <c r="H35" s="18"/>
      <c r="I35" s="18"/>
      <c r="J35" s="9"/>
    </row>
    <row r="36" spans="2:10" ht="15" thickBot="1" x14ac:dyDescent="0.35">
      <c r="B36" s="83"/>
      <c r="C36" s="2" t="s">
        <v>36</v>
      </c>
      <c r="D36" s="18"/>
      <c r="E36" s="18"/>
      <c r="F36" s="18">
        <v>2E-3</v>
      </c>
      <c r="G36" s="18"/>
      <c r="H36" s="18">
        <v>2E-3</v>
      </c>
      <c r="I36" s="18"/>
      <c r="J36" s="9">
        <v>3.0000000000000001E-3</v>
      </c>
    </row>
    <row r="37" spans="2:10" ht="15" thickBot="1" x14ac:dyDescent="0.35">
      <c r="B37" s="83"/>
      <c r="C37" s="2" t="s">
        <v>37</v>
      </c>
      <c r="D37" s="18"/>
      <c r="E37" s="18"/>
      <c r="F37" s="18"/>
      <c r="G37" s="18"/>
      <c r="H37" s="18"/>
      <c r="I37" s="18"/>
      <c r="J37" s="9"/>
    </row>
    <row r="38" spans="2:10" ht="15" thickBot="1" x14ac:dyDescent="0.35">
      <c r="B38" s="83"/>
      <c r="C38" s="2" t="s">
        <v>38</v>
      </c>
      <c r="D38" s="18"/>
      <c r="E38" s="18"/>
      <c r="F38" s="18"/>
      <c r="G38" s="18"/>
      <c r="H38" s="18"/>
      <c r="I38" s="18"/>
      <c r="J38" s="9"/>
    </row>
    <row r="39" spans="2:10" ht="15" thickBot="1" x14ac:dyDescent="0.35">
      <c r="B39" s="83"/>
      <c r="C39" s="2" t="s">
        <v>39</v>
      </c>
      <c r="D39" s="18"/>
      <c r="E39" s="18"/>
      <c r="F39" s="18"/>
      <c r="G39" s="18"/>
      <c r="H39" s="18"/>
      <c r="I39" s="18"/>
      <c r="J39" s="9"/>
    </row>
    <row r="40" spans="2:10" ht="15" thickBot="1" x14ac:dyDescent="0.35">
      <c r="B40" s="83"/>
      <c r="C40" s="2" t="s">
        <v>40</v>
      </c>
      <c r="D40" s="18"/>
      <c r="E40" s="18"/>
      <c r="F40" s="18"/>
      <c r="G40" s="18"/>
      <c r="H40" s="18"/>
      <c r="I40" s="18"/>
      <c r="J40" s="9"/>
    </row>
    <row r="41" spans="2:10" ht="15" thickBot="1" x14ac:dyDescent="0.35">
      <c r="B41" s="83"/>
      <c r="C41" s="2" t="s">
        <v>41</v>
      </c>
      <c r="D41" s="18"/>
      <c r="E41" s="18"/>
      <c r="F41" s="18"/>
      <c r="G41" s="18"/>
      <c r="H41" s="18"/>
      <c r="I41" s="18"/>
      <c r="J41" s="9"/>
    </row>
    <row r="42" spans="2:10" ht="15" thickBot="1" x14ac:dyDescent="0.35">
      <c r="B42" s="83"/>
      <c r="C42" s="2" t="s">
        <v>42</v>
      </c>
      <c r="D42" s="18"/>
      <c r="E42" s="18"/>
      <c r="F42" s="18"/>
      <c r="G42" s="18"/>
      <c r="H42" s="18"/>
      <c r="I42" s="18"/>
      <c r="J42" s="9"/>
    </row>
    <row r="43" spans="2:10" ht="19.8" thickBot="1" x14ac:dyDescent="0.35">
      <c r="B43" s="83"/>
      <c r="C43" s="2" t="s">
        <v>43</v>
      </c>
      <c r="D43" s="18"/>
      <c r="E43" s="18"/>
      <c r="F43" s="18"/>
      <c r="G43" s="18"/>
      <c r="H43" s="18"/>
      <c r="I43" s="18"/>
      <c r="J43" s="9"/>
    </row>
    <row r="44" spans="2:10" ht="15" thickBot="1" x14ac:dyDescent="0.35">
      <c r="B44" s="84"/>
      <c r="C44" s="10" t="s">
        <v>44</v>
      </c>
      <c r="D44" s="20">
        <f>SUM(D34:D43)</f>
        <v>1.0999999999999999E-2</v>
      </c>
      <c r="E44" s="20">
        <f t="shared" ref="E44:J44" si="1">SUM(E34:E43)</f>
        <v>1.0999999999999999E-2</v>
      </c>
      <c r="F44" s="20">
        <f t="shared" si="1"/>
        <v>1.0999999999999999E-2</v>
      </c>
      <c r="G44" s="20">
        <f t="shared" si="1"/>
        <v>0.01</v>
      </c>
      <c r="H44" s="20">
        <f t="shared" si="1"/>
        <v>1.0999999999999999E-2</v>
      </c>
      <c r="I44" s="20">
        <f t="shared" si="1"/>
        <v>0.01</v>
      </c>
      <c r="J44" s="20">
        <f t="shared" si="1"/>
        <v>0.01</v>
      </c>
    </row>
    <row r="45" spans="2:10" ht="19.2" customHeight="1" x14ac:dyDescent="0.3">
      <c r="B45" s="11"/>
      <c r="C45" s="12" t="s">
        <v>32</v>
      </c>
      <c r="D45" s="13">
        <v>2</v>
      </c>
      <c r="E45" s="13">
        <v>2</v>
      </c>
      <c r="F45" s="13">
        <v>2</v>
      </c>
      <c r="G45" s="13">
        <v>2</v>
      </c>
      <c r="H45" s="13">
        <v>2</v>
      </c>
      <c r="I45" s="13">
        <v>2</v>
      </c>
      <c r="J45" s="13">
        <v>2</v>
      </c>
    </row>
    <row r="46" spans="2:10" x14ac:dyDescent="0.3">
      <c r="B46" s="79" t="s">
        <v>55</v>
      </c>
      <c r="C46" s="79"/>
      <c r="D46" s="24">
        <v>2</v>
      </c>
      <c r="E46" s="24">
        <v>2</v>
      </c>
      <c r="F46" s="24">
        <v>2</v>
      </c>
      <c r="G46" s="24">
        <v>2</v>
      </c>
      <c r="H46" s="24">
        <v>2</v>
      </c>
      <c r="I46" s="24">
        <v>2</v>
      </c>
      <c r="J46" s="24">
        <v>2</v>
      </c>
    </row>
  </sheetData>
  <mergeCells count="16">
    <mergeCell ref="B3:C7"/>
    <mergeCell ref="B46:C46"/>
    <mergeCell ref="B8:J8"/>
    <mergeCell ref="C9:J9"/>
    <mergeCell ref="L10:M10"/>
    <mergeCell ref="L17:M17"/>
    <mergeCell ref="B20:B31"/>
    <mergeCell ref="B33:B44"/>
    <mergeCell ref="D3:J3"/>
    <mergeCell ref="D4:J4"/>
    <mergeCell ref="F5:J5"/>
    <mergeCell ref="F6:J6"/>
    <mergeCell ref="F7:J7"/>
    <mergeCell ref="D5:E5"/>
    <mergeCell ref="D6:E6"/>
    <mergeCell ref="D7:E7"/>
  </mergeCells>
  <pageMargins left="0.7" right="0.7" top="0.75" bottom="0.75" header="0.3" footer="0.3"/>
  <pageSetup paperSize="9"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2BB1-9E1A-4939-BE01-CE35DE0F3D12}">
  <sheetPr>
    <pageSetUpPr fitToPage="1"/>
  </sheetPr>
  <dimension ref="C5:G32"/>
  <sheetViews>
    <sheetView workbookViewId="0">
      <selection activeCell="J20" sqref="J20"/>
    </sheetView>
  </sheetViews>
  <sheetFormatPr baseColWidth="10" defaultRowHeight="14.4" x14ac:dyDescent="0.3"/>
  <cols>
    <col min="3" max="3" width="12.6640625" customWidth="1"/>
    <col min="4" max="4" width="17.21875" customWidth="1"/>
  </cols>
  <sheetData>
    <row r="5" spans="3:7" x14ac:dyDescent="0.3">
      <c r="C5" s="68"/>
      <c r="D5" s="71" t="s">
        <v>45</v>
      </c>
      <c r="E5" s="71"/>
      <c r="F5" s="71"/>
      <c r="G5" s="71"/>
    </row>
    <row r="6" spans="3:7" x14ac:dyDescent="0.3">
      <c r="C6" s="69"/>
      <c r="D6" s="14" t="s">
        <v>4</v>
      </c>
      <c r="E6" s="71" t="s">
        <v>89</v>
      </c>
      <c r="F6" s="71"/>
      <c r="G6" s="71"/>
    </row>
    <row r="7" spans="3:7" x14ac:dyDescent="0.3">
      <c r="C7" s="69"/>
      <c r="D7" s="14" t="s">
        <v>6</v>
      </c>
      <c r="E7" s="72">
        <f ca="1">TODAY()</f>
        <v>46156</v>
      </c>
      <c r="F7" s="72"/>
      <c r="G7" s="71"/>
    </row>
    <row r="8" spans="3:7" x14ac:dyDescent="0.3">
      <c r="C8" s="70"/>
      <c r="D8" s="14" t="s">
        <v>2</v>
      </c>
      <c r="E8" s="65" t="s">
        <v>3</v>
      </c>
      <c r="F8" s="66"/>
      <c r="G8" s="67"/>
    </row>
    <row r="9" spans="3:7" x14ac:dyDescent="0.3">
      <c r="C9" s="73"/>
      <c r="D9" s="74"/>
      <c r="E9" s="75"/>
      <c r="F9" s="75"/>
      <c r="G9" s="76"/>
    </row>
    <row r="10" spans="3:7" x14ac:dyDescent="0.3">
      <c r="C10" s="23"/>
      <c r="D10" s="77" t="s">
        <v>47</v>
      </c>
      <c r="E10" s="45" t="s">
        <v>90</v>
      </c>
      <c r="F10" s="45" t="s">
        <v>95</v>
      </c>
      <c r="G10" s="43" t="s">
        <v>3</v>
      </c>
    </row>
    <row r="11" spans="3:7" x14ac:dyDescent="0.3">
      <c r="C11" s="25"/>
      <c r="D11" s="78"/>
      <c r="E11" s="45" t="s">
        <v>86</v>
      </c>
      <c r="F11" s="45" t="s">
        <v>86</v>
      </c>
      <c r="G11" s="28" t="s">
        <v>86</v>
      </c>
    </row>
    <row r="12" spans="3:7" x14ac:dyDescent="0.3">
      <c r="C12" s="26"/>
      <c r="D12" s="21" t="s">
        <v>48</v>
      </c>
      <c r="E12" s="46">
        <v>3.7999999999999999E-2</v>
      </c>
      <c r="F12" s="46">
        <v>4.2000000000000003E-2</v>
      </c>
      <c r="G12" s="46">
        <v>0.02</v>
      </c>
    </row>
    <row r="13" spans="3:7" x14ac:dyDescent="0.3">
      <c r="C13" s="64" t="s">
        <v>21</v>
      </c>
      <c r="D13" s="15" t="s">
        <v>22</v>
      </c>
      <c r="E13" s="44">
        <v>0.14099999999999999</v>
      </c>
      <c r="F13" s="44">
        <v>0.12</v>
      </c>
      <c r="G13" s="44">
        <v>0.2</v>
      </c>
    </row>
    <row r="14" spans="3:7" x14ac:dyDescent="0.3">
      <c r="C14" s="64"/>
      <c r="D14" s="15" t="s">
        <v>49</v>
      </c>
      <c r="E14" s="44">
        <v>0.10100000000000001</v>
      </c>
      <c r="F14" s="44">
        <v>9.4E-2</v>
      </c>
      <c r="G14" s="44">
        <v>0.126</v>
      </c>
    </row>
    <row r="15" spans="3:7" x14ac:dyDescent="0.3">
      <c r="C15" s="64"/>
      <c r="D15" s="15" t="s">
        <v>24</v>
      </c>
      <c r="E15" s="44" t="s">
        <v>60</v>
      </c>
      <c r="F15" s="44" t="s">
        <v>60</v>
      </c>
      <c r="G15" s="44" t="s">
        <v>60</v>
      </c>
    </row>
    <row r="16" spans="3:7" x14ac:dyDescent="0.3">
      <c r="C16" s="64"/>
      <c r="D16" s="15" t="s">
        <v>25</v>
      </c>
      <c r="E16" s="44">
        <v>8.5999999999999993E-2</v>
      </c>
      <c r="F16" s="44">
        <v>3.5999999999999997E-2</v>
      </c>
      <c r="G16" s="44">
        <v>3.5000000000000003E-2</v>
      </c>
    </row>
    <row r="17" spans="3:7" x14ac:dyDescent="0.3">
      <c r="C17" s="64"/>
      <c r="D17" s="15" t="s">
        <v>26</v>
      </c>
      <c r="E17" s="44">
        <v>0.24</v>
      </c>
      <c r="F17" s="44">
        <v>0.26</v>
      </c>
      <c r="G17" s="44">
        <v>0.2</v>
      </c>
    </row>
    <row r="18" spans="3:7" x14ac:dyDescent="0.3">
      <c r="C18" s="64"/>
      <c r="D18" s="15" t="s">
        <v>27</v>
      </c>
      <c r="E18" s="44">
        <v>7.0000000000000001E-3</v>
      </c>
      <c r="F18" s="44">
        <v>1.4999999999999999E-2</v>
      </c>
      <c r="G18" s="44">
        <v>6.0000000000000001E-3</v>
      </c>
    </row>
    <row r="19" spans="3:7" x14ac:dyDescent="0.3">
      <c r="C19" s="64"/>
      <c r="D19" s="15" t="s">
        <v>28</v>
      </c>
      <c r="E19" s="44" t="s">
        <v>60</v>
      </c>
      <c r="F19" s="44">
        <v>1.2E-2</v>
      </c>
      <c r="G19" s="44" t="s">
        <v>60</v>
      </c>
    </row>
    <row r="20" spans="3:7" x14ac:dyDescent="0.3">
      <c r="C20" s="64"/>
      <c r="D20" s="15" t="s">
        <v>29</v>
      </c>
      <c r="E20" s="44">
        <v>4.7E-2</v>
      </c>
      <c r="F20" s="44">
        <v>4.7E-2</v>
      </c>
      <c r="G20" s="44">
        <v>0.09</v>
      </c>
    </row>
    <row r="21" spans="3:7" ht="19.2" x14ac:dyDescent="0.3">
      <c r="C21" s="64"/>
      <c r="D21" s="15" t="s">
        <v>31</v>
      </c>
      <c r="E21" s="44">
        <v>0.02</v>
      </c>
      <c r="F21" s="44">
        <v>2.9000000000000001E-2</v>
      </c>
      <c r="G21" s="44">
        <v>0.06</v>
      </c>
    </row>
    <row r="22" spans="3:7" x14ac:dyDescent="0.3">
      <c r="C22" s="64" t="s">
        <v>33</v>
      </c>
      <c r="D22" s="15" t="s">
        <v>50</v>
      </c>
      <c r="E22" s="44">
        <v>0.19600000000000001</v>
      </c>
      <c r="F22" s="44">
        <v>0.2</v>
      </c>
      <c r="G22" s="44">
        <v>0.14000000000000001</v>
      </c>
    </row>
    <row r="23" spans="3:7" ht="21" customHeight="1" x14ac:dyDescent="0.3">
      <c r="C23" s="64"/>
      <c r="D23" s="15" t="s">
        <v>34</v>
      </c>
      <c r="E23" s="44">
        <v>0.124</v>
      </c>
      <c r="F23" s="44">
        <v>0.114</v>
      </c>
      <c r="G23" s="44">
        <v>0.09</v>
      </c>
    </row>
    <row r="24" spans="3:7" x14ac:dyDescent="0.3">
      <c r="C24" s="64"/>
      <c r="D24" s="15" t="s">
        <v>35</v>
      </c>
      <c r="E24" s="44" t="s">
        <v>60</v>
      </c>
      <c r="F24" s="44" t="s">
        <v>60</v>
      </c>
      <c r="G24" s="44">
        <v>3.3000000000000002E-2</v>
      </c>
    </row>
    <row r="25" spans="3:7" x14ac:dyDescent="0.3">
      <c r="C25" s="64"/>
      <c r="D25" s="15" t="s">
        <v>36</v>
      </c>
      <c r="E25" s="44" t="s">
        <v>60</v>
      </c>
      <c r="F25" s="44">
        <v>3.1E-2</v>
      </c>
      <c r="G25" s="44" t="s">
        <v>60</v>
      </c>
    </row>
    <row r="26" spans="3:7" x14ac:dyDescent="0.3">
      <c r="C26" s="64"/>
      <c r="D26" s="15" t="s">
        <v>37</v>
      </c>
      <c r="E26" s="44" t="s">
        <v>60</v>
      </c>
      <c r="F26" s="44" t="s">
        <v>60</v>
      </c>
      <c r="G26" s="44" t="s">
        <v>60</v>
      </c>
    </row>
    <row r="27" spans="3:7" x14ac:dyDescent="0.3">
      <c r="C27" s="64"/>
      <c r="D27" s="15" t="s">
        <v>38</v>
      </c>
      <c r="E27" s="44" t="s">
        <v>60</v>
      </c>
      <c r="F27" s="44" t="s">
        <v>60</v>
      </c>
      <c r="G27" s="44" t="s">
        <v>60</v>
      </c>
    </row>
    <row r="28" spans="3:7" x14ac:dyDescent="0.3">
      <c r="C28" s="64"/>
      <c r="D28" s="15" t="s">
        <v>42</v>
      </c>
      <c r="E28" s="44" t="s">
        <v>60</v>
      </c>
      <c r="F28" s="44" t="s">
        <v>60</v>
      </c>
      <c r="G28" s="44" t="s">
        <v>60</v>
      </c>
    </row>
    <row r="29" spans="3:7" x14ac:dyDescent="0.3">
      <c r="C29" s="64"/>
      <c r="D29" s="15" t="s">
        <v>39</v>
      </c>
      <c r="E29" s="44" t="s">
        <v>60</v>
      </c>
      <c r="F29" s="44" t="s">
        <v>60</v>
      </c>
      <c r="G29" s="44" t="s">
        <v>60</v>
      </c>
    </row>
    <row r="30" spans="3:7" x14ac:dyDescent="0.3">
      <c r="C30" s="64"/>
      <c r="D30" s="15" t="s">
        <v>40</v>
      </c>
      <c r="E30" s="44" t="s">
        <v>60</v>
      </c>
      <c r="F30" s="44" t="s">
        <v>60</v>
      </c>
      <c r="G30" s="44" t="s">
        <v>60</v>
      </c>
    </row>
    <row r="31" spans="3:7" x14ac:dyDescent="0.3">
      <c r="C31" s="64"/>
      <c r="D31" s="15" t="s">
        <v>41</v>
      </c>
      <c r="E31" s="44" t="s">
        <v>60</v>
      </c>
      <c r="F31" s="44" t="s">
        <v>60</v>
      </c>
      <c r="G31" s="44" t="s">
        <v>60</v>
      </c>
    </row>
    <row r="32" spans="3:7" ht="19.2" x14ac:dyDescent="0.3">
      <c r="C32" s="64"/>
      <c r="D32" s="15" t="s">
        <v>43</v>
      </c>
      <c r="E32" s="44" t="s">
        <v>60</v>
      </c>
      <c r="F32" s="44" t="s">
        <v>60</v>
      </c>
      <c r="G32" s="44" t="s">
        <v>60</v>
      </c>
    </row>
  </sheetData>
  <mergeCells count="9">
    <mergeCell ref="C22:C32"/>
    <mergeCell ref="E8:G8"/>
    <mergeCell ref="C5:C8"/>
    <mergeCell ref="D5:G5"/>
    <mergeCell ref="E6:G6"/>
    <mergeCell ref="E7:G7"/>
    <mergeCell ref="C9:G9"/>
    <mergeCell ref="D10:D11"/>
    <mergeCell ref="C13:C21"/>
  </mergeCells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9DC7-7CFE-4E6C-808A-BCA19FB2905D}">
  <sheetPr>
    <pageSetUpPr fitToPage="1"/>
  </sheetPr>
  <dimension ref="B2:E45"/>
  <sheetViews>
    <sheetView topLeftCell="A9" workbookViewId="0">
      <selection activeCell="E35" sqref="E35"/>
    </sheetView>
  </sheetViews>
  <sheetFormatPr baseColWidth="10" defaultRowHeight="14.4" x14ac:dyDescent="0.3"/>
  <cols>
    <col min="3" max="3" width="17.5546875" customWidth="1"/>
  </cols>
  <sheetData>
    <row r="2" spans="2:5" ht="15" thickBot="1" x14ac:dyDescent="0.35"/>
    <row r="3" spans="2:5" ht="15" customHeight="1" thickBot="1" x14ac:dyDescent="0.35">
      <c r="B3" s="87"/>
      <c r="C3" s="88"/>
      <c r="D3" s="104" t="s">
        <v>0</v>
      </c>
      <c r="E3" s="96"/>
    </row>
    <row r="4" spans="2:5" ht="15" thickBot="1" x14ac:dyDescent="0.35">
      <c r="B4" s="89"/>
      <c r="C4" s="90"/>
      <c r="D4" s="104" t="s">
        <v>1</v>
      </c>
      <c r="E4" s="96"/>
    </row>
    <row r="5" spans="2:5" ht="15" thickBot="1" x14ac:dyDescent="0.35">
      <c r="B5" s="89"/>
      <c r="C5" s="90"/>
      <c r="D5" s="29" t="s">
        <v>2</v>
      </c>
      <c r="E5" s="30" t="s">
        <v>3</v>
      </c>
    </row>
    <row r="6" spans="2:5" ht="15" thickBot="1" x14ac:dyDescent="0.35">
      <c r="B6" s="89"/>
      <c r="C6" s="90"/>
      <c r="D6" s="29" t="s">
        <v>4</v>
      </c>
      <c r="E6" s="30" t="s">
        <v>5</v>
      </c>
    </row>
    <row r="7" spans="2:5" ht="15" thickBot="1" x14ac:dyDescent="0.35">
      <c r="B7" s="91"/>
      <c r="C7" s="92"/>
      <c r="D7" s="29" t="s">
        <v>6</v>
      </c>
      <c r="E7" s="31">
        <f ca="1">TODAY()</f>
        <v>46156</v>
      </c>
    </row>
    <row r="8" spans="2:5" x14ac:dyDescent="0.3">
      <c r="B8" s="80"/>
      <c r="C8" s="81"/>
      <c r="D8" s="81"/>
      <c r="E8" s="81"/>
    </row>
    <row r="9" spans="2:5" x14ac:dyDescent="0.3">
      <c r="B9" s="83"/>
      <c r="C9" s="1" t="s">
        <v>59</v>
      </c>
      <c r="D9" s="1" t="s">
        <v>61</v>
      </c>
      <c r="E9" s="1" t="s">
        <v>62</v>
      </c>
    </row>
    <row r="10" spans="2:5" ht="15" thickBot="1" x14ac:dyDescent="0.35">
      <c r="B10" s="83"/>
      <c r="C10" s="2" t="s">
        <v>7</v>
      </c>
      <c r="D10" s="3" t="s">
        <v>9</v>
      </c>
      <c r="E10" s="4" t="s">
        <v>9</v>
      </c>
    </row>
    <row r="11" spans="2:5" ht="15" thickBot="1" x14ac:dyDescent="0.35">
      <c r="B11" s="83"/>
      <c r="C11" s="2" t="s">
        <v>10</v>
      </c>
      <c r="D11" s="3" t="s">
        <v>12</v>
      </c>
      <c r="E11" s="9" t="s">
        <v>12</v>
      </c>
    </row>
    <row r="12" spans="2:5" ht="15" thickBot="1" x14ac:dyDescent="0.35">
      <c r="B12" s="83"/>
      <c r="C12" s="2" t="s">
        <v>13</v>
      </c>
      <c r="D12" s="3" t="s">
        <v>51</v>
      </c>
      <c r="E12" s="9" t="s">
        <v>51</v>
      </c>
    </row>
    <row r="13" spans="2:5" ht="15" thickBot="1" x14ac:dyDescent="0.35">
      <c r="B13" s="83"/>
      <c r="C13" s="2" t="s">
        <v>53</v>
      </c>
      <c r="D13" s="3" t="s">
        <v>63</v>
      </c>
      <c r="E13" s="9" t="s">
        <v>63</v>
      </c>
    </row>
    <row r="14" spans="2:5" ht="15" thickBot="1" x14ac:dyDescent="0.35">
      <c r="B14" s="83"/>
      <c r="C14" s="2" t="s">
        <v>14</v>
      </c>
      <c r="D14" s="3" t="s">
        <v>15</v>
      </c>
      <c r="E14" s="4" t="s">
        <v>15</v>
      </c>
    </row>
    <row r="15" spans="2:5" ht="15" thickBot="1" x14ac:dyDescent="0.35">
      <c r="B15" s="83"/>
      <c r="C15" s="2" t="s">
        <v>16</v>
      </c>
      <c r="D15" s="3">
        <v>14</v>
      </c>
      <c r="E15" s="4">
        <v>14</v>
      </c>
    </row>
    <row r="16" spans="2:5" ht="15" thickBot="1" x14ac:dyDescent="0.35">
      <c r="B16" s="83"/>
      <c r="C16" s="2" t="s">
        <v>17</v>
      </c>
      <c r="D16" s="3" t="s">
        <v>18</v>
      </c>
      <c r="E16" s="4" t="s">
        <v>18</v>
      </c>
    </row>
    <row r="17" spans="2:5" ht="15" thickBot="1" x14ac:dyDescent="0.35">
      <c r="B17" s="83"/>
      <c r="C17" s="2" t="s">
        <v>19</v>
      </c>
      <c r="D17" s="3" t="s">
        <v>18</v>
      </c>
      <c r="E17" s="4" t="s">
        <v>18</v>
      </c>
    </row>
    <row r="18" spans="2:5" ht="15" thickBot="1" x14ac:dyDescent="0.35">
      <c r="B18" s="84"/>
      <c r="C18" s="2" t="s">
        <v>20</v>
      </c>
      <c r="D18" s="3" t="s">
        <v>18</v>
      </c>
      <c r="E18" s="4" t="s">
        <v>18</v>
      </c>
    </row>
    <row r="19" spans="2:5" x14ac:dyDescent="0.3">
      <c r="B19" s="82" t="s">
        <v>21</v>
      </c>
      <c r="C19" s="5"/>
      <c r="D19" s="6"/>
      <c r="E19" s="7"/>
    </row>
    <row r="20" spans="2:5" ht="15" thickBot="1" x14ac:dyDescent="0.35">
      <c r="B20" s="83"/>
      <c r="C20" s="2" t="s">
        <v>22</v>
      </c>
      <c r="D20" s="8">
        <v>1.9E-2</v>
      </c>
      <c r="E20" s="9">
        <v>4.0000000000000001E-3</v>
      </c>
    </row>
    <row r="21" spans="2:5" ht="15" thickBot="1" x14ac:dyDescent="0.35">
      <c r="B21" s="83"/>
      <c r="C21" s="2" t="s">
        <v>23</v>
      </c>
      <c r="D21" s="8">
        <v>1.7000000000000001E-2</v>
      </c>
      <c r="E21" s="9">
        <v>1.4E-2</v>
      </c>
    </row>
    <row r="22" spans="2:5" ht="15" thickBot="1" x14ac:dyDescent="0.35">
      <c r="B22" s="83"/>
      <c r="C22" s="2" t="s">
        <v>24</v>
      </c>
      <c r="D22" s="8"/>
      <c r="E22" s="9"/>
    </row>
    <row r="23" spans="2:5" ht="15" thickBot="1" x14ac:dyDescent="0.35">
      <c r="B23" s="83"/>
      <c r="C23" s="19" t="s">
        <v>25</v>
      </c>
      <c r="D23" s="8">
        <v>2E-3</v>
      </c>
      <c r="E23" s="9">
        <v>4.0000000000000001E-3</v>
      </c>
    </row>
    <row r="24" spans="2:5" ht="15" thickBot="1" x14ac:dyDescent="0.35">
      <c r="B24" s="83"/>
      <c r="C24" s="2" t="s">
        <v>26</v>
      </c>
      <c r="D24" s="8">
        <v>2.7E-2</v>
      </c>
      <c r="E24" s="9">
        <v>2.7E-2</v>
      </c>
    </row>
    <row r="25" spans="2:5" ht="15" thickBot="1" x14ac:dyDescent="0.35">
      <c r="B25" s="83"/>
      <c r="C25" s="2" t="s">
        <v>27</v>
      </c>
      <c r="D25" s="8"/>
      <c r="E25" s="9"/>
    </row>
    <row r="26" spans="2:5" ht="15" thickBot="1" x14ac:dyDescent="0.35">
      <c r="B26" s="83"/>
      <c r="C26" s="2" t="s">
        <v>28</v>
      </c>
      <c r="D26" s="8"/>
      <c r="E26" s="9"/>
    </row>
    <row r="27" spans="2:5" ht="15" thickBot="1" x14ac:dyDescent="0.35">
      <c r="B27" s="83"/>
      <c r="C27" s="2" t="s">
        <v>29</v>
      </c>
      <c r="D27" s="8"/>
      <c r="E27" s="9"/>
    </row>
    <row r="28" spans="2:5" ht="15" thickBot="1" x14ac:dyDescent="0.35">
      <c r="B28" s="83"/>
      <c r="C28" s="2" t="s">
        <v>30</v>
      </c>
      <c r="D28" s="8"/>
      <c r="E28" s="9">
        <v>8.9999999999999993E-3</v>
      </c>
    </row>
    <row r="29" spans="2:5" ht="19.8" thickBot="1" x14ac:dyDescent="0.35">
      <c r="B29" s="83"/>
      <c r="C29" s="2" t="s">
        <v>31</v>
      </c>
      <c r="D29" s="8">
        <v>1.4999999999999999E-2</v>
      </c>
      <c r="E29" s="9">
        <v>8.0000000000000002E-3</v>
      </c>
    </row>
    <row r="30" spans="2:5" ht="15" thickBot="1" x14ac:dyDescent="0.35">
      <c r="B30" s="84"/>
      <c r="C30" s="10" t="s">
        <v>21</v>
      </c>
      <c r="D30" s="20">
        <f>SUM(D20:D29)</f>
        <v>0.08</v>
      </c>
      <c r="E30" s="20">
        <f t="shared" ref="E30" si="0">SUM(E20:E29)</f>
        <v>6.6000000000000003E-2</v>
      </c>
    </row>
    <row r="31" spans="2:5" ht="15" thickBot="1" x14ac:dyDescent="0.35">
      <c r="B31" s="11"/>
      <c r="C31" s="12" t="s">
        <v>32</v>
      </c>
      <c r="D31" s="13">
        <v>4</v>
      </c>
      <c r="E31" s="13">
        <v>4</v>
      </c>
    </row>
    <row r="32" spans="2:5" ht="15" thickBot="1" x14ac:dyDescent="0.35">
      <c r="B32" s="82" t="s">
        <v>33</v>
      </c>
      <c r="C32" s="5"/>
      <c r="D32" s="6"/>
      <c r="E32" s="4"/>
    </row>
    <row r="33" spans="2:5" ht="15" thickBot="1" x14ac:dyDescent="0.35">
      <c r="B33" s="83"/>
      <c r="C33" s="2" t="s">
        <v>34</v>
      </c>
      <c r="D33" s="18">
        <v>2.1000000000000001E-2</v>
      </c>
      <c r="E33" s="9">
        <v>2.4E-2</v>
      </c>
    </row>
    <row r="34" spans="2:5" ht="15" thickBot="1" x14ac:dyDescent="0.35">
      <c r="B34" s="83"/>
      <c r="C34" s="2" t="s">
        <v>35</v>
      </c>
      <c r="D34" s="18">
        <v>0.01</v>
      </c>
      <c r="E34" s="9">
        <v>6.0000000000000001E-3</v>
      </c>
    </row>
    <row r="35" spans="2:5" ht="15" thickBot="1" x14ac:dyDescent="0.35">
      <c r="B35" s="83"/>
      <c r="C35" s="2" t="s">
        <v>36</v>
      </c>
      <c r="D35" s="18"/>
      <c r="E35" s="9">
        <v>2E-3</v>
      </c>
    </row>
    <row r="36" spans="2:5" ht="15" thickBot="1" x14ac:dyDescent="0.35">
      <c r="B36" s="83"/>
      <c r="C36" s="2" t="s">
        <v>37</v>
      </c>
      <c r="D36" s="18"/>
      <c r="E36" s="9"/>
    </row>
    <row r="37" spans="2:5" ht="15" thickBot="1" x14ac:dyDescent="0.35">
      <c r="B37" s="83"/>
      <c r="C37" s="2" t="s">
        <v>38</v>
      </c>
      <c r="D37" s="18"/>
      <c r="E37" s="9"/>
    </row>
    <row r="38" spans="2:5" ht="15" thickBot="1" x14ac:dyDescent="0.35">
      <c r="B38" s="83"/>
      <c r="C38" s="2" t="s">
        <v>39</v>
      </c>
      <c r="D38" s="18"/>
      <c r="E38" s="9"/>
    </row>
    <row r="39" spans="2:5" ht="15" thickBot="1" x14ac:dyDescent="0.35">
      <c r="B39" s="83"/>
      <c r="C39" s="2" t="s">
        <v>40</v>
      </c>
      <c r="D39" s="18"/>
      <c r="E39" s="9"/>
    </row>
    <row r="40" spans="2:5" ht="15" thickBot="1" x14ac:dyDescent="0.35">
      <c r="B40" s="83"/>
      <c r="C40" s="2" t="s">
        <v>41</v>
      </c>
      <c r="D40" s="18"/>
      <c r="E40" s="9"/>
    </row>
    <row r="41" spans="2:5" ht="15" thickBot="1" x14ac:dyDescent="0.35">
      <c r="B41" s="83"/>
      <c r="C41" s="2" t="s">
        <v>42</v>
      </c>
      <c r="D41" s="18"/>
      <c r="E41" s="9">
        <v>3.0000000000000001E-3</v>
      </c>
    </row>
    <row r="42" spans="2:5" ht="19.8" thickBot="1" x14ac:dyDescent="0.35">
      <c r="B42" s="83"/>
      <c r="C42" s="2" t="s">
        <v>43</v>
      </c>
      <c r="D42" s="18"/>
      <c r="E42" s="9"/>
    </row>
    <row r="43" spans="2:5" ht="15" thickBot="1" x14ac:dyDescent="0.35">
      <c r="B43" s="84"/>
      <c r="C43" s="10" t="s">
        <v>44</v>
      </c>
      <c r="D43" s="20">
        <f>SUM(D33:D42)</f>
        <v>3.1E-2</v>
      </c>
      <c r="E43" s="20">
        <f t="shared" ref="E43" si="1">SUM(E33:E42)</f>
        <v>3.5000000000000003E-2</v>
      </c>
    </row>
    <row r="44" spans="2:5" x14ac:dyDescent="0.3">
      <c r="B44" s="11"/>
      <c r="C44" s="12" t="s">
        <v>32</v>
      </c>
      <c r="D44" s="13">
        <v>3</v>
      </c>
      <c r="E44" s="13">
        <v>3</v>
      </c>
    </row>
    <row r="45" spans="2:5" x14ac:dyDescent="0.3">
      <c r="B45" s="79" t="s">
        <v>55</v>
      </c>
      <c r="C45" s="79"/>
      <c r="D45" s="24">
        <v>3</v>
      </c>
      <c r="E45" s="24">
        <v>3</v>
      </c>
    </row>
  </sheetData>
  <mergeCells count="8">
    <mergeCell ref="B19:B30"/>
    <mergeCell ref="B32:B43"/>
    <mergeCell ref="B45:C45"/>
    <mergeCell ref="D3:E3"/>
    <mergeCell ref="D4:E4"/>
    <mergeCell ref="B3:C7"/>
    <mergeCell ref="B8:E8"/>
    <mergeCell ref="B9:B18"/>
  </mergeCells>
  <pageMargins left="0.7" right="0.7" top="0.75" bottom="0.75" header="0.3" footer="0.3"/>
  <pageSetup paperSize="9" fitToHeight="0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11FE-7FAF-4A8C-B5A2-6052D38C0B51}">
  <sheetPr>
    <pageSetUpPr fitToPage="1"/>
  </sheetPr>
  <dimension ref="C4:H32"/>
  <sheetViews>
    <sheetView topLeftCell="A4" workbookViewId="0">
      <selection activeCell="I17" sqref="I17"/>
    </sheetView>
  </sheetViews>
  <sheetFormatPr baseColWidth="10" defaultRowHeight="14.4" x14ac:dyDescent="0.3"/>
  <cols>
    <col min="4" max="4" width="19.21875" customWidth="1"/>
  </cols>
  <sheetData>
    <row r="4" spans="3:8" x14ac:dyDescent="0.3">
      <c r="C4" s="68"/>
      <c r="D4" s="71" t="s">
        <v>45</v>
      </c>
      <c r="E4" s="71"/>
      <c r="F4" s="71"/>
    </row>
    <row r="5" spans="3:8" x14ac:dyDescent="0.3">
      <c r="C5" s="69"/>
      <c r="D5" s="14" t="s">
        <v>4</v>
      </c>
      <c r="E5" s="71" t="s">
        <v>46</v>
      </c>
      <c r="F5" s="71"/>
    </row>
    <row r="6" spans="3:8" x14ac:dyDescent="0.3">
      <c r="C6" s="69"/>
      <c r="D6" s="14" t="s">
        <v>6</v>
      </c>
      <c r="E6" s="72">
        <f ca="1">TODAY()</f>
        <v>46156</v>
      </c>
      <c r="F6" s="71"/>
    </row>
    <row r="7" spans="3:8" x14ac:dyDescent="0.3">
      <c r="C7" s="69"/>
      <c r="D7" s="14" t="s">
        <v>7</v>
      </c>
      <c r="E7" s="65" t="s">
        <v>9</v>
      </c>
      <c r="F7" s="67"/>
    </row>
    <row r="8" spans="3:8" x14ac:dyDescent="0.3">
      <c r="C8" s="70"/>
      <c r="D8" s="14" t="s">
        <v>2</v>
      </c>
      <c r="E8" s="65" t="s">
        <v>3</v>
      </c>
      <c r="F8" s="67"/>
    </row>
    <row r="9" spans="3:8" x14ac:dyDescent="0.3">
      <c r="C9" s="73"/>
      <c r="D9" s="74"/>
      <c r="E9" s="74"/>
      <c r="F9" s="76"/>
    </row>
    <row r="10" spans="3:8" x14ac:dyDescent="0.3">
      <c r="C10" s="23"/>
      <c r="D10" s="107" t="s">
        <v>47</v>
      </c>
      <c r="E10" s="107" t="s">
        <v>61</v>
      </c>
      <c r="F10" s="107" t="s">
        <v>62</v>
      </c>
    </row>
    <row r="11" spans="3:8" x14ac:dyDescent="0.3">
      <c r="C11" s="25"/>
      <c r="D11" s="108"/>
      <c r="E11" s="108"/>
      <c r="F11" s="108"/>
    </row>
    <row r="12" spans="3:8" x14ac:dyDescent="0.3">
      <c r="C12" s="26"/>
      <c r="D12" s="21" t="s">
        <v>48</v>
      </c>
      <c r="E12" s="22">
        <v>0.04</v>
      </c>
      <c r="F12" s="22">
        <v>0.02</v>
      </c>
    </row>
    <row r="13" spans="3:8" x14ac:dyDescent="0.3">
      <c r="C13" s="64" t="s">
        <v>21</v>
      </c>
      <c r="D13" s="15" t="s">
        <v>22</v>
      </c>
      <c r="E13" s="16">
        <v>1.7000000000000001E-2</v>
      </c>
      <c r="F13" s="16">
        <v>2.9000000000000001E-2</v>
      </c>
      <c r="H13" s="33"/>
    </row>
    <row r="14" spans="3:8" x14ac:dyDescent="0.3">
      <c r="C14" s="64"/>
      <c r="D14" s="15" t="s">
        <v>49</v>
      </c>
      <c r="E14" s="16">
        <v>5.8999999999999997E-2</v>
      </c>
      <c r="F14" s="32">
        <v>0.107</v>
      </c>
      <c r="H14" s="33"/>
    </row>
    <row r="15" spans="3:8" x14ac:dyDescent="0.3">
      <c r="C15" s="64"/>
      <c r="D15" s="15" t="s">
        <v>24</v>
      </c>
      <c r="E15" s="16" t="s">
        <v>60</v>
      </c>
      <c r="F15" s="16" t="s">
        <v>60</v>
      </c>
      <c r="H15" s="33"/>
    </row>
    <row r="16" spans="3:8" x14ac:dyDescent="0.3">
      <c r="C16" s="64"/>
      <c r="D16" s="15" t="s">
        <v>25</v>
      </c>
      <c r="E16" s="32">
        <v>9.8000000000000004E-2</v>
      </c>
      <c r="F16" s="16" t="s">
        <v>60</v>
      </c>
      <c r="H16" s="33"/>
    </row>
    <row r="17" spans="3:8" x14ac:dyDescent="0.3">
      <c r="C17" s="64"/>
      <c r="D17" s="15" t="s">
        <v>26</v>
      </c>
      <c r="E17" s="32">
        <v>9.4E-2</v>
      </c>
      <c r="F17" s="32">
        <v>0.24199999999999999</v>
      </c>
      <c r="H17" s="33"/>
    </row>
    <row r="18" spans="3:8" x14ac:dyDescent="0.3">
      <c r="C18" s="64"/>
      <c r="D18" s="15" t="s">
        <v>27</v>
      </c>
      <c r="E18" s="16" t="s">
        <v>60</v>
      </c>
      <c r="F18" s="16" t="s">
        <v>60</v>
      </c>
      <c r="H18" s="33"/>
    </row>
    <row r="19" spans="3:8" x14ac:dyDescent="0.3">
      <c r="C19" s="64"/>
      <c r="D19" s="15" t="s">
        <v>28</v>
      </c>
      <c r="E19" s="16">
        <v>0.04</v>
      </c>
      <c r="F19" s="16" t="s">
        <v>60</v>
      </c>
      <c r="H19" s="33"/>
    </row>
    <row r="20" spans="3:8" x14ac:dyDescent="0.3">
      <c r="C20" s="64"/>
      <c r="D20" s="15" t="s">
        <v>29</v>
      </c>
      <c r="E20" s="16" t="s">
        <v>60</v>
      </c>
      <c r="F20" s="16" t="s">
        <v>60</v>
      </c>
      <c r="H20" s="33"/>
    </row>
    <row r="21" spans="3:8" x14ac:dyDescent="0.3">
      <c r="C21" s="64"/>
      <c r="D21" s="15" t="s">
        <v>31</v>
      </c>
      <c r="E21" s="32">
        <v>0.23</v>
      </c>
      <c r="F21" s="32">
        <v>0.115</v>
      </c>
      <c r="H21" s="33"/>
    </row>
    <row r="22" spans="3:8" x14ac:dyDescent="0.3">
      <c r="C22" s="64" t="s">
        <v>33</v>
      </c>
      <c r="D22" s="15" t="s">
        <v>50</v>
      </c>
      <c r="E22" s="16" t="s">
        <v>60</v>
      </c>
      <c r="F22" s="16" t="s">
        <v>60</v>
      </c>
      <c r="H22" s="33"/>
    </row>
    <row r="23" spans="3:8" x14ac:dyDescent="0.3">
      <c r="C23" s="64"/>
      <c r="D23" s="15" t="s">
        <v>34</v>
      </c>
      <c r="E23" s="32">
        <v>0.41299999999999998</v>
      </c>
      <c r="F23" s="32">
        <v>0.47699999999999998</v>
      </c>
      <c r="H23" s="33"/>
    </row>
    <row r="24" spans="3:8" x14ac:dyDescent="0.3">
      <c r="C24" s="64"/>
      <c r="D24" s="15" t="s">
        <v>35</v>
      </c>
      <c r="E24" s="16" t="s">
        <v>60</v>
      </c>
      <c r="F24" s="16" t="s">
        <v>60</v>
      </c>
      <c r="H24" s="33"/>
    </row>
    <row r="25" spans="3:8" x14ac:dyDescent="0.3">
      <c r="C25" s="64"/>
      <c r="D25" s="15" t="s">
        <v>36</v>
      </c>
      <c r="E25" s="16">
        <v>0.01</v>
      </c>
      <c r="F25" s="16">
        <v>1.2999999999999999E-2</v>
      </c>
      <c r="H25" s="33"/>
    </row>
    <row r="26" spans="3:8" x14ac:dyDescent="0.3">
      <c r="C26" s="64"/>
      <c r="D26" s="15" t="s">
        <v>37</v>
      </c>
      <c r="E26" s="16" t="s">
        <v>60</v>
      </c>
      <c r="F26" s="16" t="s">
        <v>60</v>
      </c>
    </row>
    <row r="27" spans="3:8" x14ac:dyDescent="0.3">
      <c r="C27" s="64"/>
      <c r="D27" s="15" t="s">
        <v>38</v>
      </c>
      <c r="E27" s="16" t="s">
        <v>60</v>
      </c>
      <c r="F27" s="16" t="s">
        <v>60</v>
      </c>
    </row>
    <row r="28" spans="3:8" x14ac:dyDescent="0.3">
      <c r="C28" s="64"/>
      <c r="D28" s="15" t="s">
        <v>42</v>
      </c>
      <c r="E28" s="16" t="s">
        <v>60</v>
      </c>
      <c r="F28" s="16" t="s">
        <v>60</v>
      </c>
    </row>
    <row r="29" spans="3:8" x14ac:dyDescent="0.3">
      <c r="C29" s="64"/>
      <c r="D29" s="15" t="s">
        <v>39</v>
      </c>
      <c r="E29" s="16" t="s">
        <v>60</v>
      </c>
      <c r="F29" s="16" t="s">
        <v>60</v>
      </c>
    </row>
    <row r="30" spans="3:8" x14ac:dyDescent="0.3">
      <c r="C30" s="64"/>
      <c r="D30" s="15" t="s">
        <v>40</v>
      </c>
      <c r="E30" s="16" t="s">
        <v>60</v>
      </c>
      <c r="F30" s="16" t="s">
        <v>60</v>
      </c>
    </row>
    <row r="31" spans="3:8" x14ac:dyDescent="0.3">
      <c r="C31" s="64"/>
      <c r="D31" s="15" t="s">
        <v>41</v>
      </c>
      <c r="E31" s="16" t="s">
        <v>60</v>
      </c>
      <c r="F31" s="16" t="s">
        <v>60</v>
      </c>
    </row>
    <row r="32" spans="3:8" ht="19.2" x14ac:dyDescent="0.3">
      <c r="C32" s="64"/>
      <c r="D32" s="15" t="s">
        <v>43</v>
      </c>
      <c r="E32" s="16" t="s">
        <v>60</v>
      </c>
      <c r="F32" s="16" t="s">
        <v>60</v>
      </c>
    </row>
  </sheetData>
  <mergeCells count="12">
    <mergeCell ref="C9:F9"/>
    <mergeCell ref="E7:F7"/>
    <mergeCell ref="C4:C8"/>
    <mergeCell ref="D4:F4"/>
    <mergeCell ref="E5:F5"/>
    <mergeCell ref="E6:F6"/>
    <mergeCell ref="E8:F8"/>
    <mergeCell ref="D10:D11"/>
    <mergeCell ref="E10:E11"/>
    <mergeCell ref="F10:F11"/>
    <mergeCell ref="C13:C21"/>
    <mergeCell ref="C22:C32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2908-910E-4BA4-9A6E-E4AF535E409F}">
  <sheetPr>
    <pageSetUpPr fitToPage="1"/>
  </sheetPr>
  <dimension ref="B4:E34"/>
  <sheetViews>
    <sheetView workbookViewId="0">
      <selection activeCell="C4" sqref="B4:E34"/>
    </sheetView>
  </sheetViews>
  <sheetFormatPr baseColWidth="10" defaultRowHeight="14.4" x14ac:dyDescent="0.3"/>
  <sheetData>
    <row r="4" spans="2:5" x14ac:dyDescent="0.3">
      <c r="B4" s="68"/>
      <c r="C4" s="71" t="s">
        <v>64</v>
      </c>
      <c r="D4" s="71"/>
      <c r="E4" s="71"/>
    </row>
    <row r="5" spans="2:5" x14ac:dyDescent="0.3">
      <c r="B5" s="69"/>
      <c r="C5" s="14" t="s">
        <v>4</v>
      </c>
      <c r="D5" s="71" t="s">
        <v>46</v>
      </c>
      <c r="E5" s="71"/>
    </row>
    <row r="6" spans="2:5" x14ac:dyDescent="0.3">
      <c r="B6" s="69"/>
      <c r="C6" s="14" t="s">
        <v>7</v>
      </c>
      <c r="D6" s="109" t="s">
        <v>9</v>
      </c>
      <c r="E6" s="110"/>
    </row>
    <row r="7" spans="2:5" x14ac:dyDescent="0.3">
      <c r="B7" s="69"/>
      <c r="C7" s="14" t="s">
        <v>65</v>
      </c>
      <c r="D7" s="109">
        <v>9</v>
      </c>
      <c r="E7" s="110"/>
    </row>
    <row r="8" spans="2:5" x14ac:dyDescent="0.3">
      <c r="B8" s="69"/>
      <c r="C8" s="14" t="s">
        <v>66</v>
      </c>
      <c r="D8" s="109">
        <v>3</v>
      </c>
      <c r="E8" s="110"/>
    </row>
    <row r="9" spans="2:5" x14ac:dyDescent="0.3">
      <c r="B9" s="69"/>
      <c r="C9" s="14" t="s">
        <v>6</v>
      </c>
      <c r="D9" s="72">
        <f ca="1">TODAY()</f>
        <v>46156</v>
      </c>
      <c r="E9" s="71"/>
    </row>
    <row r="10" spans="2:5" x14ac:dyDescent="0.3">
      <c r="B10" s="70"/>
      <c r="C10" s="14" t="s">
        <v>2</v>
      </c>
      <c r="D10" s="65" t="s">
        <v>3</v>
      </c>
      <c r="E10" s="67"/>
    </row>
    <row r="11" spans="2:5" x14ac:dyDescent="0.3">
      <c r="B11" s="73"/>
      <c r="C11" s="74"/>
      <c r="D11" s="74"/>
      <c r="E11" s="76"/>
    </row>
    <row r="12" spans="2:5" x14ac:dyDescent="0.3">
      <c r="B12" s="23"/>
      <c r="C12" s="107" t="s">
        <v>67</v>
      </c>
      <c r="D12" s="93" t="s">
        <v>61</v>
      </c>
      <c r="E12" s="95"/>
    </row>
    <row r="13" spans="2:5" x14ac:dyDescent="0.3">
      <c r="B13" s="25"/>
      <c r="C13" s="108"/>
      <c r="D13" s="1" t="s">
        <v>68</v>
      </c>
      <c r="E13" s="28" t="s">
        <v>69</v>
      </c>
    </row>
    <row r="14" spans="2:5" x14ac:dyDescent="0.3">
      <c r="B14" s="26"/>
      <c r="C14" s="21" t="s">
        <v>48</v>
      </c>
      <c r="D14" s="22">
        <v>0.63900000000000001</v>
      </c>
      <c r="E14" s="22">
        <v>0.91100000000000003</v>
      </c>
    </row>
    <row r="15" spans="2:5" hidden="1" x14ac:dyDescent="0.3">
      <c r="B15" s="64" t="s">
        <v>21</v>
      </c>
      <c r="C15" s="15" t="s">
        <v>22</v>
      </c>
      <c r="D15" s="27"/>
      <c r="E15" s="16"/>
    </row>
    <row r="16" spans="2:5" hidden="1" x14ac:dyDescent="0.3">
      <c r="B16" s="64"/>
      <c r="C16" s="15" t="s">
        <v>49</v>
      </c>
      <c r="D16" s="27"/>
      <c r="E16" s="16"/>
    </row>
    <row r="17" spans="2:5" hidden="1" x14ac:dyDescent="0.3">
      <c r="B17" s="64"/>
      <c r="C17" s="15" t="s">
        <v>24</v>
      </c>
      <c r="D17" s="27"/>
      <c r="E17" s="16"/>
    </row>
    <row r="18" spans="2:5" hidden="1" x14ac:dyDescent="0.3">
      <c r="B18" s="64"/>
      <c r="C18" s="15" t="s">
        <v>25</v>
      </c>
      <c r="D18" s="16"/>
      <c r="E18" s="16"/>
    </row>
    <row r="19" spans="2:5" x14ac:dyDescent="0.3">
      <c r="B19" s="64"/>
      <c r="C19" s="15" t="s">
        <v>26</v>
      </c>
      <c r="D19" s="16">
        <v>3.2000000000000001E-2</v>
      </c>
      <c r="E19" s="16" t="s">
        <v>60</v>
      </c>
    </row>
    <row r="20" spans="2:5" ht="19.2" hidden="1" x14ac:dyDescent="0.3">
      <c r="B20" s="64"/>
      <c r="C20" s="15" t="s">
        <v>27</v>
      </c>
      <c r="D20" s="16"/>
      <c r="E20" s="16"/>
    </row>
    <row r="21" spans="2:5" hidden="1" x14ac:dyDescent="0.3">
      <c r="B21" s="64"/>
      <c r="C21" s="15" t="s">
        <v>28</v>
      </c>
      <c r="D21" s="16"/>
      <c r="E21" s="16"/>
    </row>
    <row r="22" spans="2:5" hidden="1" x14ac:dyDescent="0.3">
      <c r="B22" s="64"/>
      <c r="C22" s="15" t="s">
        <v>29</v>
      </c>
      <c r="D22" s="16"/>
      <c r="E22" s="16"/>
    </row>
    <row r="23" spans="2:5" ht="19.2" x14ac:dyDescent="0.3">
      <c r="B23" s="64"/>
      <c r="C23" s="15" t="s">
        <v>31</v>
      </c>
      <c r="D23" s="16">
        <v>0.19700000000000001</v>
      </c>
      <c r="E23" s="16">
        <v>8.8999999999999996E-2</v>
      </c>
    </row>
    <row r="24" spans="2:5" hidden="1" x14ac:dyDescent="0.3">
      <c r="B24" s="64" t="s">
        <v>33</v>
      </c>
      <c r="C24" s="15" t="s">
        <v>50</v>
      </c>
      <c r="D24" s="16"/>
      <c r="E24" s="16"/>
    </row>
    <row r="25" spans="2:5" ht="24" customHeight="1" x14ac:dyDescent="0.3">
      <c r="B25" s="64"/>
      <c r="C25" s="15" t="s">
        <v>34</v>
      </c>
      <c r="D25" s="16">
        <v>0.13200000000000001</v>
      </c>
      <c r="E25" s="16" t="s">
        <v>60</v>
      </c>
    </row>
    <row r="26" spans="2:5" ht="19.2" hidden="1" x14ac:dyDescent="0.3">
      <c r="B26" s="64"/>
      <c r="C26" s="15" t="s">
        <v>35</v>
      </c>
      <c r="D26" s="16"/>
      <c r="E26" s="16"/>
    </row>
    <row r="27" spans="2:5" ht="19.2" hidden="1" x14ac:dyDescent="0.3">
      <c r="B27" s="64"/>
      <c r="C27" s="15" t="s">
        <v>36</v>
      </c>
      <c r="D27" s="16"/>
      <c r="E27" s="16"/>
    </row>
    <row r="28" spans="2:5" hidden="1" x14ac:dyDescent="0.3">
      <c r="B28" s="64"/>
      <c r="C28" s="15" t="s">
        <v>37</v>
      </c>
      <c r="D28" s="27"/>
      <c r="E28" s="16"/>
    </row>
    <row r="29" spans="2:5" hidden="1" x14ac:dyDescent="0.3">
      <c r="B29" s="64"/>
      <c r="C29" s="15" t="s">
        <v>38</v>
      </c>
      <c r="D29" s="27"/>
      <c r="E29" s="16"/>
    </row>
    <row r="30" spans="2:5" hidden="1" x14ac:dyDescent="0.3">
      <c r="B30" s="64"/>
      <c r="C30" s="15" t="s">
        <v>42</v>
      </c>
      <c r="D30" s="27"/>
      <c r="E30" s="16"/>
    </row>
    <row r="31" spans="2:5" hidden="1" x14ac:dyDescent="0.3">
      <c r="B31" s="64"/>
      <c r="C31" s="15" t="s">
        <v>39</v>
      </c>
      <c r="D31" s="27"/>
      <c r="E31" s="16"/>
    </row>
    <row r="32" spans="2:5" hidden="1" x14ac:dyDescent="0.3">
      <c r="B32" s="64"/>
      <c r="C32" s="15" t="s">
        <v>40</v>
      </c>
      <c r="D32" s="27"/>
      <c r="E32" s="16"/>
    </row>
    <row r="33" spans="2:5" hidden="1" x14ac:dyDescent="0.3">
      <c r="B33" s="64"/>
      <c r="C33" s="15" t="s">
        <v>41</v>
      </c>
      <c r="D33" s="27"/>
      <c r="E33" s="16"/>
    </row>
    <row r="34" spans="2:5" ht="19.2" hidden="1" x14ac:dyDescent="0.3">
      <c r="B34" s="64"/>
      <c r="C34" s="15" t="s">
        <v>43</v>
      </c>
      <c r="D34" s="27"/>
      <c r="E34" s="16"/>
    </row>
  </sheetData>
  <mergeCells count="13">
    <mergeCell ref="D12:E12"/>
    <mergeCell ref="C12:C13"/>
    <mergeCell ref="B15:B23"/>
    <mergeCell ref="B24:B34"/>
    <mergeCell ref="D6:E6"/>
    <mergeCell ref="D7:E7"/>
    <mergeCell ref="D8:E8"/>
    <mergeCell ref="B4:B10"/>
    <mergeCell ref="C4:E4"/>
    <mergeCell ref="D5:E5"/>
    <mergeCell ref="D9:E9"/>
    <mergeCell ref="D10:E10"/>
    <mergeCell ref="B11:E11"/>
  </mergeCells>
  <pageMargins left="1" right="1" top="1" bottom="1" header="0.5" footer="0.5"/>
  <pageSetup paperSize="9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166E-2D36-4180-956F-6E120409C860}">
  <dimension ref="B4:F12"/>
  <sheetViews>
    <sheetView workbookViewId="0">
      <selection activeCell="E4" sqref="E4:E12"/>
    </sheetView>
  </sheetViews>
  <sheetFormatPr baseColWidth="10" defaultRowHeight="14.4" x14ac:dyDescent="0.3"/>
  <sheetData>
    <row r="4" spans="2:6" ht="15" thickBot="1" x14ac:dyDescent="0.35">
      <c r="B4" s="3" t="s">
        <v>9</v>
      </c>
      <c r="C4" s="3" t="s">
        <v>9</v>
      </c>
      <c r="E4" s="3" t="s">
        <v>8</v>
      </c>
      <c r="F4" s="3" t="s">
        <v>8</v>
      </c>
    </row>
    <row r="5" spans="2:6" ht="15" thickBot="1" x14ac:dyDescent="0.35">
      <c r="B5" s="3" t="s">
        <v>12</v>
      </c>
      <c r="C5" s="3" t="s">
        <v>11</v>
      </c>
      <c r="E5" s="3" t="s">
        <v>11</v>
      </c>
      <c r="F5" s="3" t="s">
        <v>12</v>
      </c>
    </row>
    <row r="6" spans="2:6" ht="15" thickBot="1" x14ac:dyDescent="0.35">
      <c r="B6" s="3" t="s">
        <v>51</v>
      </c>
      <c r="C6" s="3" t="s">
        <v>54</v>
      </c>
      <c r="E6" s="3" t="s">
        <v>54</v>
      </c>
      <c r="F6" s="3" t="s">
        <v>51</v>
      </c>
    </row>
    <row r="7" spans="2:6" ht="15" thickBot="1" x14ac:dyDescent="0.35">
      <c r="B7" s="17" t="s">
        <v>52</v>
      </c>
      <c r="C7" s="3" t="s">
        <v>56</v>
      </c>
      <c r="E7" s="3" t="s">
        <v>56</v>
      </c>
      <c r="F7" s="17" t="s">
        <v>52</v>
      </c>
    </row>
    <row r="8" spans="2:6" ht="15" thickBot="1" x14ac:dyDescent="0.35">
      <c r="B8" s="3" t="s">
        <v>15</v>
      </c>
      <c r="C8" s="3" t="s">
        <v>57</v>
      </c>
      <c r="E8" s="3" t="s">
        <v>57</v>
      </c>
      <c r="F8" s="3" t="s">
        <v>15</v>
      </c>
    </row>
    <row r="9" spans="2:6" ht="15" thickBot="1" x14ac:dyDescent="0.35">
      <c r="B9" s="3">
        <v>20</v>
      </c>
      <c r="C9" s="3">
        <v>20</v>
      </c>
      <c r="E9" s="3">
        <v>12</v>
      </c>
      <c r="F9" s="3">
        <v>20</v>
      </c>
    </row>
    <row r="10" spans="2:6" ht="15" thickBot="1" x14ac:dyDescent="0.35">
      <c r="B10" s="3" t="s">
        <v>58</v>
      </c>
      <c r="C10" s="3" t="s">
        <v>18</v>
      </c>
      <c r="E10" s="3" t="s">
        <v>58</v>
      </c>
      <c r="F10" s="3" t="s">
        <v>58</v>
      </c>
    </row>
    <row r="11" spans="2:6" ht="15" thickBot="1" x14ac:dyDescent="0.35">
      <c r="B11" s="3" t="s">
        <v>18</v>
      </c>
      <c r="C11" s="3" t="s">
        <v>18</v>
      </c>
      <c r="E11" s="3" t="s">
        <v>18</v>
      </c>
      <c r="F11" s="3" t="s">
        <v>18</v>
      </c>
    </row>
    <row r="12" spans="2:6" ht="15" thickBot="1" x14ac:dyDescent="0.35">
      <c r="B12" s="3" t="s">
        <v>18</v>
      </c>
      <c r="C12" s="3" t="s">
        <v>18</v>
      </c>
      <c r="E12" s="3" t="s">
        <v>58</v>
      </c>
      <c r="F12" s="3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1E67-3A04-4EC0-B114-1F5FBEE4C383}">
  <sheetPr>
    <tabColor rgb="FFFFC000"/>
    <pageSetUpPr fitToPage="1"/>
  </sheetPr>
  <dimension ref="B2:M42"/>
  <sheetViews>
    <sheetView zoomScaleNormal="100" workbookViewId="0">
      <selection activeCell="D26" sqref="D26:E26"/>
    </sheetView>
  </sheetViews>
  <sheetFormatPr baseColWidth="10" defaultRowHeight="14.4" x14ac:dyDescent="0.3"/>
  <cols>
    <col min="3" max="3" width="16" customWidth="1"/>
    <col min="4" max="4" width="13.21875" customWidth="1"/>
    <col min="5" max="5" width="14.33203125" customWidth="1"/>
    <col min="6" max="6" width="11.5546875" customWidth="1"/>
    <col min="7" max="7" width="11.5546875" hidden="1" customWidth="1"/>
    <col min="8" max="8" width="22.77734375" hidden="1" customWidth="1"/>
    <col min="9" max="9" width="11.5546875" hidden="1" customWidth="1"/>
    <col min="10" max="10" width="13.33203125" hidden="1" customWidth="1"/>
    <col min="11" max="12" width="16.21875" hidden="1" customWidth="1"/>
    <col min="13" max="13" width="12.33203125" hidden="1" customWidth="1"/>
    <col min="14" max="14" width="11.5546875" customWidth="1"/>
  </cols>
  <sheetData>
    <row r="2" spans="2:13" ht="15" thickBot="1" x14ac:dyDescent="0.35"/>
    <row r="3" spans="2:13" ht="14.4" customHeight="1" thickBot="1" x14ac:dyDescent="0.35">
      <c r="B3" s="87"/>
      <c r="C3" s="88"/>
      <c r="D3" s="104" t="s">
        <v>0</v>
      </c>
      <c r="E3" s="96"/>
    </row>
    <row r="4" spans="2:13" ht="15" thickBot="1" x14ac:dyDescent="0.35">
      <c r="B4" s="89"/>
      <c r="C4" s="90"/>
      <c r="D4" s="104" t="s">
        <v>1</v>
      </c>
      <c r="E4" s="96"/>
    </row>
    <row r="5" spans="2:13" ht="15" thickBot="1" x14ac:dyDescent="0.35">
      <c r="B5" s="89"/>
      <c r="C5" s="90"/>
      <c r="D5" s="47" t="s">
        <v>53</v>
      </c>
      <c r="E5" s="48" t="s">
        <v>98</v>
      </c>
    </row>
    <row r="6" spans="2:13" ht="15" thickBot="1" x14ac:dyDescent="0.35">
      <c r="B6" s="89"/>
      <c r="C6" s="90"/>
      <c r="D6" s="47" t="s">
        <v>4</v>
      </c>
      <c r="E6" s="48" t="s">
        <v>89</v>
      </c>
    </row>
    <row r="7" spans="2:13" ht="15" thickBot="1" x14ac:dyDescent="0.35">
      <c r="B7" s="91"/>
      <c r="C7" s="92"/>
      <c r="D7" s="47" t="s">
        <v>6</v>
      </c>
      <c r="E7" s="49">
        <f ca="1">TODAY()</f>
        <v>46156</v>
      </c>
    </row>
    <row r="8" spans="2:13" x14ac:dyDescent="0.3">
      <c r="B8" s="80"/>
      <c r="C8" s="81"/>
      <c r="D8" s="81"/>
      <c r="E8" s="81"/>
    </row>
    <row r="9" spans="2:13" x14ac:dyDescent="0.3">
      <c r="B9" s="41"/>
      <c r="C9" s="93"/>
      <c r="D9" s="94"/>
      <c r="E9" s="95"/>
    </row>
    <row r="10" spans="2:13" ht="15" thickBot="1" x14ac:dyDescent="0.35">
      <c r="B10" s="41"/>
      <c r="C10" s="2" t="s">
        <v>7</v>
      </c>
      <c r="D10" s="119" t="s">
        <v>86</v>
      </c>
      <c r="E10" s="120"/>
      <c r="G10" s="85" t="s">
        <v>70</v>
      </c>
      <c r="H10" s="85"/>
      <c r="J10" s="34" t="s">
        <v>81</v>
      </c>
      <c r="K10" s="34" t="s">
        <v>82</v>
      </c>
      <c r="L10" s="34" t="s">
        <v>85</v>
      </c>
      <c r="M10" s="34" t="s">
        <v>83</v>
      </c>
    </row>
    <row r="11" spans="2:13" ht="15" thickBot="1" x14ac:dyDescent="0.35">
      <c r="B11" s="41"/>
      <c r="C11" s="2" t="s">
        <v>10</v>
      </c>
      <c r="D11" s="111" t="s">
        <v>94</v>
      </c>
      <c r="E11" s="112"/>
      <c r="G11" s="35" t="s">
        <v>71</v>
      </c>
      <c r="H11" s="35" t="s">
        <v>72</v>
      </c>
      <c r="J11" s="36">
        <v>2</v>
      </c>
      <c r="K11" s="36">
        <v>2</v>
      </c>
      <c r="L11" s="38">
        <v>2</v>
      </c>
      <c r="M11" s="38" t="s">
        <v>18</v>
      </c>
    </row>
    <row r="12" spans="2:13" ht="15" thickBot="1" x14ac:dyDescent="0.35">
      <c r="B12" s="41"/>
      <c r="C12" s="2" t="s">
        <v>13</v>
      </c>
      <c r="D12" s="111" t="s">
        <v>91</v>
      </c>
      <c r="E12" s="112"/>
      <c r="G12" s="36">
        <v>1</v>
      </c>
      <c r="H12" s="36" t="s">
        <v>73</v>
      </c>
      <c r="J12" s="36">
        <v>3</v>
      </c>
      <c r="K12" s="36">
        <v>2</v>
      </c>
      <c r="L12" s="38">
        <v>2</v>
      </c>
      <c r="M12" s="38" t="s">
        <v>18</v>
      </c>
    </row>
    <row r="13" spans="2:13" ht="15" thickBot="1" x14ac:dyDescent="0.35">
      <c r="B13" s="41"/>
      <c r="C13" s="2" t="s">
        <v>53</v>
      </c>
      <c r="D13" s="111" t="s">
        <v>97</v>
      </c>
      <c r="E13" s="112"/>
      <c r="G13" s="36">
        <v>2</v>
      </c>
      <c r="H13" s="36" t="s">
        <v>74</v>
      </c>
      <c r="J13" s="36">
        <v>2</v>
      </c>
      <c r="K13" s="36">
        <v>3</v>
      </c>
      <c r="L13" s="39">
        <v>3</v>
      </c>
      <c r="M13" s="39" t="s">
        <v>58</v>
      </c>
    </row>
    <row r="14" spans="2:13" ht="15" thickBot="1" x14ac:dyDescent="0.35">
      <c r="B14" s="41"/>
      <c r="C14" s="2" t="s">
        <v>87</v>
      </c>
      <c r="D14" s="111" t="s">
        <v>88</v>
      </c>
      <c r="E14" s="112"/>
      <c r="G14" s="36">
        <v>3</v>
      </c>
      <c r="H14" s="36" t="s">
        <v>75</v>
      </c>
      <c r="J14" s="36">
        <v>4</v>
      </c>
      <c r="K14" s="36">
        <v>3</v>
      </c>
      <c r="L14" s="39">
        <v>3</v>
      </c>
      <c r="M14" s="39" t="s">
        <v>58</v>
      </c>
    </row>
    <row r="15" spans="2:13" ht="15" thickBot="1" x14ac:dyDescent="0.35">
      <c r="B15" s="41"/>
      <c r="C15" s="2" t="s">
        <v>14</v>
      </c>
      <c r="D15" s="111" t="s">
        <v>15</v>
      </c>
      <c r="E15" s="112"/>
      <c r="G15" s="36">
        <v>4</v>
      </c>
      <c r="H15" s="36" t="s">
        <v>76</v>
      </c>
      <c r="J15" s="36">
        <v>4</v>
      </c>
      <c r="K15" s="36">
        <v>2</v>
      </c>
      <c r="L15" s="39">
        <v>3</v>
      </c>
      <c r="M15" s="39" t="s">
        <v>58</v>
      </c>
    </row>
    <row r="16" spans="2:13" ht="15" thickBot="1" x14ac:dyDescent="0.35">
      <c r="B16" s="41"/>
      <c r="C16" s="2" t="s">
        <v>16</v>
      </c>
      <c r="D16" s="111">
        <v>16</v>
      </c>
      <c r="E16" s="112"/>
      <c r="J16" s="36">
        <v>3</v>
      </c>
      <c r="K16" s="36">
        <v>3</v>
      </c>
      <c r="L16" s="39">
        <v>3</v>
      </c>
      <c r="M16" s="39" t="s">
        <v>58</v>
      </c>
    </row>
    <row r="17" spans="2:13" ht="15" thickBot="1" x14ac:dyDescent="0.35">
      <c r="B17" s="41"/>
      <c r="C17" s="2" t="s">
        <v>17</v>
      </c>
      <c r="D17" s="111" t="s">
        <v>18</v>
      </c>
      <c r="E17" s="112"/>
      <c r="G17" s="85" t="s">
        <v>77</v>
      </c>
      <c r="H17" s="85"/>
      <c r="J17" s="36">
        <v>2</v>
      </c>
      <c r="K17" s="36">
        <v>4</v>
      </c>
      <c r="L17" s="40">
        <v>4</v>
      </c>
      <c r="M17" s="40" t="s">
        <v>84</v>
      </c>
    </row>
    <row r="18" spans="2:13" ht="15" thickBot="1" x14ac:dyDescent="0.35">
      <c r="B18" s="41"/>
      <c r="C18" s="2" t="s">
        <v>19</v>
      </c>
      <c r="D18" s="111" t="s">
        <v>18</v>
      </c>
      <c r="E18" s="112"/>
      <c r="G18" s="35" t="s">
        <v>71</v>
      </c>
      <c r="H18" s="35" t="s">
        <v>72</v>
      </c>
      <c r="J18" s="36">
        <v>3</v>
      </c>
      <c r="K18" s="36">
        <v>4</v>
      </c>
      <c r="L18" s="40">
        <v>4</v>
      </c>
      <c r="M18" s="40" t="s">
        <v>84</v>
      </c>
    </row>
    <row r="19" spans="2:13" ht="15" thickBot="1" x14ac:dyDescent="0.35">
      <c r="B19" s="42"/>
      <c r="C19" s="2" t="s">
        <v>20</v>
      </c>
      <c r="D19" s="111" t="s">
        <v>18</v>
      </c>
      <c r="E19" s="112"/>
      <c r="G19" s="36">
        <v>1</v>
      </c>
      <c r="H19" s="37">
        <v>0</v>
      </c>
      <c r="J19" s="36">
        <v>4</v>
      </c>
      <c r="K19" s="36">
        <v>4</v>
      </c>
      <c r="L19" s="40">
        <v>4</v>
      </c>
      <c r="M19" s="40" t="s">
        <v>84</v>
      </c>
    </row>
    <row r="20" spans="2:13" x14ac:dyDescent="0.3">
      <c r="B20" s="82" t="s">
        <v>21</v>
      </c>
      <c r="C20" s="5"/>
      <c r="D20" s="113"/>
      <c r="E20" s="114"/>
      <c r="G20" s="36">
        <v>2</v>
      </c>
      <c r="H20" s="36" t="s">
        <v>78</v>
      </c>
    </row>
    <row r="21" spans="2:13" ht="15" thickBot="1" x14ac:dyDescent="0.35">
      <c r="B21" s="83"/>
      <c r="C21" s="2" t="s">
        <v>22</v>
      </c>
      <c r="D21" s="117">
        <v>1.7999999999999999E-2</v>
      </c>
      <c r="E21" s="118"/>
      <c r="G21" s="36">
        <v>3</v>
      </c>
      <c r="H21" s="36" t="s">
        <v>79</v>
      </c>
    </row>
    <row r="22" spans="2:13" ht="15" thickBot="1" x14ac:dyDescent="0.35">
      <c r="B22" s="83"/>
      <c r="C22" s="2" t="s">
        <v>23</v>
      </c>
      <c r="D22" s="115">
        <v>3.0000000000000001E-3</v>
      </c>
      <c r="E22" s="116"/>
      <c r="G22" s="36">
        <v>4</v>
      </c>
      <c r="H22" s="36" t="s">
        <v>80</v>
      </c>
    </row>
    <row r="23" spans="2:13" ht="15" thickBot="1" x14ac:dyDescent="0.35">
      <c r="B23" s="83"/>
      <c r="C23" s="2" t="s">
        <v>24</v>
      </c>
      <c r="D23" s="115">
        <v>2E-3</v>
      </c>
      <c r="E23" s="116"/>
    </row>
    <row r="24" spans="2:13" ht="15" thickBot="1" x14ac:dyDescent="0.35">
      <c r="B24" s="83"/>
      <c r="C24" s="19" t="s">
        <v>25</v>
      </c>
      <c r="D24" s="115">
        <v>3.0000000000000001E-3</v>
      </c>
      <c r="E24" s="116"/>
    </row>
    <row r="25" spans="2:13" ht="15" thickBot="1" x14ac:dyDescent="0.35">
      <c r="B25" s="83"/>
      <c r="C25" s="2" t="s">
        <v>26</v>
      </c>
      <c r="D25" s="115">
        <v>8.0000000000000002E-3</v>
      </c>
      <c r="E25" s="116"/>
    </row>
    <row r="26" spans="2:13" ht="15" thickBot="1" x14ac:dyDescent="0.35">
      <c r="B26" s="83"/>
      <c r="C26" s="2" t="s">
        <v>27</v>
      </c>
      <c r="D26" s="115"/>
      <c r="E26" s="116"/>
    </row>
    <row r="27" spans="2:13" ht="15" thickBot="1" x14ac:dyDescent="0.35">
      <c r="B27" s="83"/>
      <c r="C27" s="2" t="s">
        <v>28</v>
      </c>
      <c r="D27" s="115">
        <v>1E-3</v>
      </c>
      <c r="E27" s="116"/>
    </row>
    <row r="28" spans="2:13" ht="15" thickBot="1" x14ac:dyDescent="0.35">
      <c r="B28" s="83"/>
      <c r="C28" s="2" t="s">
        <v>29</v>
      </c>
      <c r="D28" s="115">
        <v>1.9E-2</v>
      </c>
      <c r="E28" s="116"/>
    </row>
    <row r="29" spans="2:13" ht="15" thickBot="1" x14ac:dyDescent="0.35">
      <c r="B29" s="83"/>
      <c r="C29" s="2" t="s">
        <v>30</v>
      </c>
      <c r="D29" s="115">
        <v>1E-3</v>
      </c>
      <c r="E29" s="116"/>
    </row>
    <row r="30" spans="2:13" ht="19.8" thickBot="1" x14ac:dyDescent="0.35">
      <c r="B30" s="83"/>
      <c r="C30" s="2" t="s">
        <v>31</v>
      </c>
      <c r="D30" s="115"/>
      <c r="E30" s="116"/>
    </row>
    <row r="31" spans="2:13" x14ac:dyDescent="0.3">
      <c r="B31" s="82" t="s">
        <v>33</v>
      </c>
      <c r="C31" s="5"/>
      <c r="D31" s="123"/>
      <c r="E31" s="124"/>
    </row>
    <row r="32" spans="2:13" ht="15" thickBot="1" x14ac:dyDescent="0.35">
      <c r="B32" s="83"/>
      <c r="C32" s="2" t="s">
        <v>34</v>
      </c>
      <c r="D32" s="125">
        <v>0.02</v>
      </c>
      <c r="E32" s="126"/>
    </row>
    <row r="33" spans="2:5" ht="15" thickBot="1" x14ac:dyDescent="0.35">
      <c r="B33" s="83"/>
      <c r="C33" s="2" t="s">
        <v>35</v>
      </c>
      <c r="D33" s="121"/>
      <c r="E33" s="122"/>
    </row>
    <row r="34" spans="2:5" ht="15" thickBot="1" x14ac:dyDescent="0.35">
      <c r="B34" s="83"/>
      <c r="C34" s="2" t="s">
        <v>36</v>
      </c>
      <c r="D34" s="121"/>
      <c r="E34" s="122"/>
    </row>
    <row r="35" spans="2:5" ht="15" thickBot="1" x14ac:dyDescent="0.35">
      <c r="B35" s="83"/>
      <c r="C35" s="2" t="s">
        <v>37</v>
      </c>
      <c r="D35" s="121"/>
      <c r="E35" s="122"/>
    </row>
    <row r="36" spans="2:5" ht="15" thickBot="1" x14ac:dyDescent="0.35">
      <c r="B36" s="83"/>
      <c r="C36" s="2" t="s">
        <v>38</v>
      </c>
      <c r="D36" s="121"/>
      <c r="E36" s="122"/>
    </row>
    <row r="37" spans="2:5" ht="15" thickBot="1" x14ac:dyDescent="0.35">
      <c r="B37" s="83"/>
      <c r="C37" s="2" t="s">
        <v>39</v>
      </c>
      <c r="D37" s="121"/>
      <c r="E37" s="122"/>
    </row>
    <row r="38" spans="2:5" ht="15" thickBot="1" x14ac:dyDescent="0.35">
      <c r="B38" s="83"/>
      <c r="C38" s="2" t="s">
        <v>40</v>
      </c>
      <c r="D38" s="121"/>
      <c r="E38" s="122"/>
    </row>
    <row r="39" spans="2:5" ht="15" thickBot="1" x14ac:dyDescent="0.35">
      <c r="B39" s="83"/>
      <c r="C39" s="2" t="s">
        <v>41</v>
      </c>
      <c r="D39" s="121"/>
      <c r="E39" s="122"/>
    </row>
    <row r="40" spans="2:5" ht="15" thickBot="1" x14ac:dyDescent="0.35">
      <c r="B40" s="83"/>
      <c r="C40" s="2" t="s">
        <v>42</v>
      </c>
      <c r="D40" s="121"/>
      <c r="E40" s="122"/>
    </row>
    <row r="41" spans="2:5" ht="19.8" thickBot="1" x14ac:dyDescent="0.35">
      <c r="B41" s="83"/>
      <c r="C41" s="2" t="s">
        <v>43</v>
      </c>
      <c r="D41" s="121"/>
      <c r="E41" s="122"/>
    </row>
    <row r="42" spans="2:5" ht="19.2" customHeight="1" x14ac:dyDescent="0.3">
      <c r="B42" s="11"/>
      <c r="C42" s="12" t="s">
        <v>72</v>
      </c>
      <c r="D42" s="127">
        <f>SUM(D21:E41)</f>
        <v>7.5000000000000011E-2</v>
      </c>
      <c r="E42" s="128"/>
    </row>
  </sheetData>
  <mergeCells count="42">
    <mergeCell ref="D42:E42"/>
    <mergeCell ref="D37:E37"/>
    <mergeCell ref="D38:E38"/>
    <mergeCell ref="D39:E39"/>
    <mergeCell ref="D40:E40"/>
    <mergeCell ref="D41:E41"/>
    <mergeCell ref="D24:E24"/>
    <mergeCell ref="D25:E25"/>
    <mergeCell ref="D36:E3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:E3"/>
    <mergeCell ref="D4:E4"/>
    <mergeCell ref="D10:E10"/>
    <mergeCell ref="D11:E11"/>
    <mergeCell ref="D12:E12"/>
    <mergeCell ref="B8:E8"/>
    <mergeCell ref="C9:E9"/>
    <mergeCell ref="B3:C7"/>
    <mergeCell ref="G10:H10"/>
    <mergeCell ref="G17:H17"/>
    <mergeCell ref="B20:B30"/>
    <mergeCell ref="B31:B41"/>
    <mergeCell ref="D17:E17"/>
    <mergeCell ref="D18:E18"/>
    <mergeCell ref="D19:E19"/>
    <mergeCell ref="D20:E20"/>
    <mergeCell ref="D26:E26"/>
    <mergeCell ref="D13:E13"/>
    <mergeCell ref="D14:E14"/>
    <mergeCell ref="D15:E15"/>
    <mergeCell ref="D16:E16"/>
    <mergeCell ref="D21:E21"/>
    <mergeCell ref="D22:E22"/>
    <mergeCell ref="D23:E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Exportación Hefei</vt:lpstr>
      <vt:lpstr>Exportación Mosqueta</vt:lpstr>
      <vt:lpstr>Exportación Pirona</vt:lpstr>
      <vt:lpstr>Descarte</vt:lpstr>
      <vt:lpstr>Comparación Exportación</vt:lpstr>
      <vt:lpstr>Comparación Descarte</vt:lpstr>
      <vt:lpstr>Evaluación de recepción</vt:lpstr>
      <vt:lpstr>Embalajes</vt:lpstr>
      <vt:lpstr>Exportación Camposol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SV71074875 (Mena Garcia, Joel Angel)</dc:creator>
  <cp:lastModifiedBy>Joel Angel Mena Garcia</cp:lastModifiedBy>
  <cp:lastPrinted>2026-05-13T21:49:04Z</cp:lastPrinted>
  <dcterms:created xsi:type="dcterms:W3CDTF">2026-03-08T18:27:16Z</dcterms:created>
  <dcterms:modified xsi:type="dcterms:W3CDTF">2026-05-14T19:02:33Z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2026-03-08T18:27:22Z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be6becf1-4fef-4388-a21c-7184584d38cb</vt:lpwstr>
  </property>
  <property fmtid="{D5CDD505-2E9C-101B-9397-08002B2CF9AE}" pid="7" name="MSIP_Label_defa4170-0d19-0005-0004-bc88714345d2_ActionId">
    <vt:lpwstr>a0e6e6cd-9021-4ee5-abcb-2971fd3ad609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